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Desktop\Research\SoftwareProject\gh_issue_exports\sampled_180-5_percent\"/>
    </mc:Choice>
  </mc:AlternateContent>
  <xr:revisionPtr revIDLastSave="0" documentId="8_{8F34A4F1-307E-4422-A26E-7742E4067EC6}" xr6:coauthVersionLast="47" xr6:coauthVersionMax="47" xr10:uidLastSave="{00000000-0000-0000-0000-000000000000}"/>
  <bookViews>
    <workbookView xWindow="0" yWindow="360" windowWidth="25820" windowHeight="15500" xr2:uid="{D7D45003-C0BD-4F53-A831-E7CC03C9E0E6}"/>
  </bookViews>
  <sheets>
    <sheet name="issue_sample_18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R2" i="1"/>
  <c r="S2" i="1"/>
</calcChain>
</file>

<file path=xl/sharedStrings.xml><?xml version="1.0" encoding="utf-8"?>
<sst xmlns="http://schemas.openxmlformats.org/spreadsheetml/2006/main" count="1796" uniqueCount="854">
  <si>
    <t>repo</t>
  </si>
  <si>
    <t>issue_number</t>
  </si>
  <si>
    <t>issue_url</t>
  </si>
  <si>
    <t>created_at</t>
  </si>
  <si>
    <t>comments_count</t>
  </si>
  <si>
    <t>unique_participants</t>
  </si>
  <si>
    <t>labels</t>
  </si>
  <si>
    <t>label_primary</t>
  </si>
  <si>
    <t>time_tercile</t>
  </si>
  <si>
    <t>thread_bucket</t>
  </si>
  <si>
    <t>rationale</t>
  </si>
  <si>
    <t>title</t>
  </si>
  <si>
    <t>Associated Components</t>
  </si>
  <si>
    <t>Codes Primary</t>
  </si>
  <si>
    <t>Agreement_ Associated component (ANAlysts A nad B)</t>
  </si>
  <si>
    <t>Agreement code Primary (Analysts A &amp; B)</t>
  </si>
  <si>
    <t>ACC Associated Components</t>
  </si>
  <si>
    <t>ACC Codes Primary</t>
  </si>
  <si>
    <t>Usability_Non-Usability Type- Analyst B (1- usability; 0-non-usability)</t>
  </si>
  <si>
    <t>Usability_Non-Usability Type- Analyst A</t>
  </si>
  <si>
    <t>Agreement</t>
  </si>
  <si>
    <t>Usability Theme</t>
  </si>
  <si>
    <t>Keyfactor/ejbca-ce</t>
  </si>
  <si>
    <t>https://github.com/Keyfactor/ejbca-ce/issues/33</t>
  </si>
  <si>
    <t>2022-04-17 22:27:53+00:00</t>
  </si>
  <si>
    <t>early</t>
  </si>
  <si>
    <t>short</t>
  </si>
  <si>
    <t>time-stratum: early (temporal coverage); thread-size: short (ensure short/medium/long threads)</t>
  </si>
  <si>
    <t>Integration EJBCA in docker container with SMTP server.</t>
  </si>
  <si>
    <t>ejbca-ce certificate authority - SMPT server</t>
  </si>
  <si>
    <t>Some components (SMPT_destination/PORT) are not available with SMPT server in older version</t>
  </si>
  <si>
    <t>Usability</t>
  </si>
  <si>
    <t xml:space="preserve">Usability Issue Theme: Any issue where the software is technically functional (it didn't crash due to a bug), but the user failed to achieve their goal efficiently, effectively, or satisfactorily due to the design, interface, feedback, or documentation. (1)
Non-Usability Theme: Pure functional bugs (e.g., null pointer exceptions, incorrect cryptographic calculations), feature requests that are entirely new capabilities outside current scope, or infrastructure tasks. (0)
</t>
  </si>
  <si>
    <t>https://github.com/Keyfactor/ejbca-ce/issues/55</t>
  </si>
  <si>
    <t>2022-06-29 16:12:31+00:00</t>
  </si>
  <si>
    <t>long</t>
  </si>
  <si>
    <t>time-stratum: early (temporal coverage); thread-size: long (ensure short/medium/long threads)</t>
  </si>
  <si>
    <t>Notification Events</t>
  </si>
  <si>
    <t>ejbca-certifucate authority - notification events</t>
  </si>
  <si>
    <t>Status code for notification events were not correctly reported in certain format ( STATUSINITIALIZED and STATUSINPROCESS).</t>
  </si>
  <si>
    <t>https://github.com/Keyfactor/ejbca-ce/issues/218</t>
  </si>
  <si>
    <t>2023-01-17 03:06:17+00:00</t>
  </si>
  <si>
    <t>medium</t>
  </si>
  <si>
    <t>time-stratum: early (temporal coverage); thread-size: medium (ensure short/medium/long threads)</t>
  </si>
  <si>
    <t>SM3WithSM2 and SM3 support</t>
  </si>
  <si>
    <t>ejbca-ce certificate authority</t>
  </si>
  <si>
    <t>Some signature algorithms (SM2withSM3 and SM3) are not compatible with the system</t>
  </si>
  <si>
    <t>https://github.com/Keyfactor/ejbca-ce/issues/261</t>
  </si>
  <si>
    <t>2023-03-16 13:16:08+00:00</t>
  </si>
  <si>
    <t>middle</t>
  </si>
  <si>
    <t>time-stratum: middle (temporal coverage); thread-size: short (ensure short/medium/long threads)</t>
  </si>
  <si>
    <t>EJBCA-CE: REST End Entity Management V2 broken</t>
  </si>
  <si>
    <t>EBJCA-CE Certificate Authority - Endpoints</t>
  </si>
  <si>
    <t>Endpoints are unaccessible</t>
  </si>
  <si>
    <t>https://github.com/Keyfactor/ejbca-ce/issues/473</t>
  </si>
  <si>
    <t>2024-01-16 12:17:55+00:00</t>
  </si>
  <si>
    <t>bug</t>
  </si>
  <si>
    <t>time-stratum: middle (temporal coverage); thread-size: long (ensure short/medium/long threads); label-diversity: 'bug' present</t>
  </si>
  <si>
    <t>[BUG] the admin web page for CMP aliases misses the 'Add' button</t>
  </si>
  <si>
    <t>ejbca-ce certificate authority - web page</t>
  </si>
  <si>
    <t>A feature ("Add") was missing after the update</t>
  </si>
  <si>
    <t>0 (1)</t>
  </si>
  <si>
    <t>https://github.com/Keyfactor/ejbca-ce/issues/520</t>
  </si>
  <si>
    <t>2024-02-27 16:26:21+00:00</t>
  </si>
  <si>
    <t>time-stratum: middle (temporal coverage); thread-size: medium (ensure short/medium/long threads); label-diversity: 'bug' present</t>
  </si>
  <si>
    <t>[BUG] CA rest api not available</t>
  </si>
  <si>
    <t>ejbca-ce certificate authority - rest api</t>
  </si>
  <si>
    <t xml:space="preserve">Rest API is not available since the users use the older version. </t>
  </si>
  <si>
    <t>https://github.com/Keyfactor/ejbca-ce/issues/568</t>
  </si>
  <si>
    <t>2024-04-09 09:55:37+00:00</t>
  </si>
  <si>
    <t>late</t>
  </si>
  <si>
    <t>time-stratum: late (temporal coverage); thread-size: short (ensure short/medium/long threads)</t>
  </si>
  <si>
    <t>EJBCA 8 is not running on wildfly 31 version</t>
  </si>
  <si>
    <t xml:space="preserve">ejbca 8 is not compatible with current Wildfly version </t>
  </si>
  <si>
    <t>non-usability (no indication that user followed documentation, or that this is reproducible)</t>
  </si>
  <si>
    <t>https://github.com/Keyfactor/ejbca-ce/issues/577</t>
  </si>
  <si>
    <t>2024-04-26 16:34:34+00:00</t>
  </si>
  <si>
    <t>time-stratum: late (temporal coverage); thread-size: medium (ensure short/medium/long threads)</t>
  </si>
  <si>
    <t>HSM generated keys for EJBCAs generated PKCS#12 objects</t>
  </si>
  <si>
    <t>ejbca-ce certificate authority - HSM generated key</t>
  </si>
  <si>
    <t xml:space="preserve">New feature (HSM keys) is requested </t>
  </si>
  <si>
    <t>usability (user although generated new feature they were really asking questions)</t>
  </si>
  <si>
    <t>https://github.com/Keyfactor/ejbca-ce/issues/824</t>
  </si>
  <si>
    <t>2025-03-03 10:09:33+00:00</t>
  </si>
  <si>
    <t>time-stratum: late (temporal coverage); thread-size: long (ensure short/medium/long threads); label-diversity: 'bug' present</t>
  </si>
  <si>
    <t>Release 8.3.2 not available for download</t>
  </si>
  <si>
    <t>ejbca-certificate authority</t>
  </si>
  <si>
    <t>Particular release version is not available.</t>
  </si>
  <si>
    <t>usability</t>
  </si>
  <si>
    <t>Keyfactor/signserver-ce</t>
  </si>
  <si>
    <t>https://github.com/Keyfactor/signserver-ce/issues/5</t>
  </si>
  <si>
    <t>2022-06-22 16:12:19+00:00</t>
  </si>
  <si>
    <t>Exception: java.lang.NoClassDefFoundError: com/sun/jna/Pointer</t>
  </si>
  <si>
    <t>signserver-ce</t>
  </si>
  <si>
    <t>Environment does not work with worker.</t>
  </si>
  <si>
    <t>hashicorp/vault</t>
  </si>
  <si>
    <t>https://github.com/hashicorp/vault/issues/13243</t>
  </si>
  <si>
    <t>2021-11-22 23:51:51+00:00</t>
  </si>
  <si>
    <t>cryptosec, enhancement, secret/transit</t>
  </si>
  <si>
    <t>cryptosec</t>
  </si>
  <si>
    <t>time-stratum: early (temporal coverage); thread-size: long (ensure short/medium/long threads); label-diversity: 'cryptosec' present</t>
  </si>
  <si>
    <t>Transit: Support algorithms with large nonces</t>
  </si>
  <si>
    <t>hashicorp-vault - Algorithms</t>
  </si>
  <si>
    <t>Some algorithms are not supported in the current version</t>
  </si>
  <si>
    <t>https://github.com/hashicorp/vault/issues/13246</t>
  </si>
  <si>
    <t>2021-11-23 07:08:42+00:00</t>
  </si>
  <si>
    <t>ecosystem, helmchart</t>
  </si>
  <si>
    <t>ecosystem</t>
  </si>
  <si>
    <t>time-stratum: early (temporal coverage); thread-size: short (ensure short/medium/long threads); label-diversity: 'ecosystem' present</t>
  </si>
  <si>
    <t>Error checking seal status</t>
  </si>
  <si>
    <t>hashicorp-vault - vault</t>
  </si>
  <si>
    <t>The vault is not able to initialize, which is an error</t>
  </si>
  <si>
    <t>https://github.com/hashicorp/vault/issues/13304</t>
  </si>
  <si>
    <t>2021-11-30 11:08:07+00:00</t>
  </si>
  <si>
    <t>core/ha</t>
  </si>
  <si>
    <t>time-stratum: early (temporal coverage); thread-size: medium (ensure short/medium/long threads); label-diversity: 'core/ha' present</t>
  </si>
  <si>
    <t>Downgrade logging failed to acquire lock msg level from error to info/warning</t>
  </si>
  <si>
    <t>hashicorp-vault - log/ha</t>
  </si>
  <si>
    <t>Log files register  misrepresented information when ha is enabled</t>
  </si>
  <si>
    <t>https://github.com/hashicorp/vault/issues/13305</t>
  </si>
  <si>
    <t>2021-11-30 14:35:24+00:00</t>
  </si>
  <si>
    <t>storage/azure</t>
  </si>
  <si>
    <t>time-stratum: early (temporal coverage); thread-size: long (ensure short/medium/long threads); label-diversity: 'storage/azure' present</t>
  </si>
  <si>
    <t xml:space="preserve">Vault Azure backend storage not syncing </t>
  </si>
  <si>
    <t>hashicorp-vault - storage</t>
  </si>
  <si>
    <t>The storage container is not sync with vault data.</t>
  </si>
  <si>
    <t>https://github.com/hashicorp/vault/issues/13319</t>
  </si>
  <si>
    <t>2021-12-01 16:26:41+00:00</t>
  </si>
  <si>
    <t>core/policy</t>
  </si>
  <si>
    <t>time-stratum: early (temporal coverage); thread-size: short (ensure short/medium/long threads); label-diversity: 'core/policy' present</t>
  </si>
  <si>
    <t>ACL Policies wildcard usage at odds with the Idiomatic Unix glob pattern usage</t>
  </si>
  <si>
    <t>hashicorp-vault - regrex</t>
  </si>
  <si>
    <t xml:space="preserve">The usage of regrex is not convention </t>
  </si>
  <si>
    <t>https://github.com/hashicorp/vault/issues/13346</t>
  </si>
  <si>
    <t>2021-12-06 06:16:00+00:00</t>
  </si>
  <si>
    <t>how to hide 8200 port form fqdn or public ip</t>
  </si>
  <si>
    <t>hashicorp-vault - port</t>
  </si>
  <si>
    <t xml:space="preserve">Port number cannot be hidden </t>
  </si>
  <si>
    <t>https://github.com/hashicorp/vault/issues/13358</t>
  </si>
  <si>
    <t>2021-12-07 18:07:41+00:00</t>
  </si>
  <si>
    <t>auth/oidc, ecosystem</t>
  </si>
  <si>
    <t>auth/oidc</t>
  </si>
  <si>
    <t>time-stratum: early (temporal coverage); thread-size: medium (ensure short/medium/long threads); label-diversity: 'auth/oidc' present</t>
  </si>
  <si>
    <t>help output is incorrect</t>
  </si>
  <si>
    <t>hashicorp-vault - output</t>
  </si>
  <si>
    <t>The output does not report the neccessary information and is clarified in the documentation</t>
  </si>
  <si>
    <t>https://github.com/hashicorp/vault/issues/13364</t>
  </si>
  <si>
    <t>2021-12-08 09:28:30+00:00</t>
  </si>
  <si>
    <t>cryptosec, secret/pki</t>
  </si>
  <si>
    <t>time-stratum: early (temporal coverage); thread-size: medium (ensure short/medium/long threads); label-diversity: 'cryptosec' present</t>
  </si>
  <si>
    <t>PKI: /sign-verbatim - key_usage and ext_key_usage request params are used as defaults instead of restrictions</t>
  </si>
  <si>
    <t>hashicorp-vault</t>
  </si>
  <si>
    <t>The values of "Key Usage" and "Extended Key Usage" returned error with certificate in CSR</t>
  </si>
  <si>
    <t>https://github.com/hashicorp/vault/issues/13388</t>
  </si>
  <si>
    <t>2021-12-10 09:55:19+00:00</t>
  </si>
  <si>
    <t>ecosystem, secret/database/postgresql</t>
  </si>
  <si>
    <t>time-stratum: early (temporal coverage); thread-size: long (ensure short/medium/long threads); label-diversity: 'ecosystem' present</t>
  </si>
  <si>
    <t>Error with Postgresql Engine `row is too big: size 8480, maximum size 8160`</t>
  </si>
  <si>
    <t>hashicorp-vault - database</t>
  </si>
  <si>
    <t>There is a limitations in gratning permission in the database</t>
  </si>
  <si>
    <t>https://github.com/hashicorp/vault/issues/14225</t>
  </si>
  <si>
    <t>2022-02-23 15:18:44+00:00</t>
  </si>
  <si>
    <t>ecosystem, k8s</t>
  </si>
  <si>
    <t>Kubernetes 1.21 - Serviceregistration is not reloading the service account token</t>
  </si>
  <si>
    <t>hashicorp-vault - service registration</t>
  </si>
  <si>
    <t>Service registration is not updated as expected</t>
  </si>
  <si>
    <t>https://github.com/hashicorp/vault/issues/14275</t>
  </si>
  <si>
    <t>2022-02-25 15:56:32+00:00</t>
  </si>
  <si>
    <t>question</t>
  </si>
  <si>
    <t>time-stratum: early (temporal coverage); thread-size: medium (ensure short/medium/long threads); label-diversity: 'question' present</t>
  </si>
  <si>
    <t>Getting Permission Denied for Userpass Token lookup</t>
  </si>
  <si>
    <t>Permission is dennied when userpass token is looked up</t>
  </si>
  <si>
    <t>https://github.com/hashicorp/vault/issues/14394</t>
  </si>
  <si>
    <t>2022-03-07 20:59:20+00:00</t>
  </si>
  <si>
    <t>bug, core, os/windows</t>
  </si>
  <si>
    <t>time-stratum: early (temporal coverage); thread-size: short (ensure short/medium/long threads); label-diversity: 'bug' present</t>
  </si>
  <si>
    <t>vault debug on Windows results in panic</t>
  </si>
  <si>
    <t>The debug output generates more context than needed</t>
  </si>
  <si>
    <t>non-unsability</t>
  </si>
  <si>
    <t>https://github.com/hashicorp/vault/issues/15196</t>
  </si>
  <si>
    <t>2022-04-27 11:13:26+00:00</t>
  </si>
  <si>
    <t>bug, ui</t>
  </si>
  <si>
    <t>Web UI with policy to allow update of group membership gives "Permission Denied"</t>
  </si>
  <si>
    <t>hashicrop-vault - webpage</t>
  </si>
  <si>
    <t>permission to change is denied despite no changes.</t>
  </si>
  <si>
    <t>https://github.com/hashicorp/vault/issues/15210</t>
  </si>
  <si>
    <t>2022-04-28 13:40:48+00:00</t>
  </si>
  <si>
    <t>time-stratum: early (temporal coverage); thread-size: medium (ensure short/medium/long threads); label-diversity: 'bug' present</t>
  </si>
  <si>
    <t>Upgrading cluster to v1.9.4 fails</t>
  </si>
  <si>
    <t>hashicrop-vault - cluster</t>
  </si>
  <si>
    <t>The node in the cluster cannot be replaced with a newer version</t>
  </si>
  <si>
    <t>https://github.com/hashicorp/vault/issues/15252</t>
  </si>
  <si>
    <t>2022-05-01 13:42:03+00:00</t>
  </si>
  <si>
    <t>bug, core/cli, good-first-issue</t>
  </si>
  <si>
    <t>Issues with `vault operator generate-root` CLI help message</t>
  </si>
  <si>
    <t>hashicrop-vault - CLI</t>
  </si>
  <si>
    <t xml:space="preserve">Command Line Interface (CLI) help message is incorrect </t>
  </si>
  <si>
    <t>https://github.com/hashicorp/vault/issues/15641</t>
  </si>
  <si>
    <t>2022-05-26 14:46:29+00:00</t>
  </si>
  <si>
    <t>release/packaging</t>
  </si>
  <si>
    <t>time-stratum: early (temporal coverage); thread-size: medium (ensure short/medium/long threads); label-diversity: 'release/packaging' present</t>
  </si>
  <si>
    <t>APT repository missing latest versions</t>
  </si>
  <si>
    <t>hashicorp-vault - CLI/APT installation</t>
  </si>
  <si>
    <t>Wrong APT command line installation leads to failure with the latest version</t>
  </si>
  <si>
    <t>https://github.com/hashicorp/vault/issues/16151</t>
  </si>
  <si>
    <t>2022-06-27 13:40:19+00:00</t>
  </si>
  <si>
    <t xml:space="preserve">Vault create enormous goroutine and consume a lot memory which causing OOM </t>
  </si>
  <si>
    <t>Goroutine get created, causing OOM then get restarted</t>
  </si>
  <si>
    <t>non-usability</t>
  </si>
  <si>
    <t>https://github.com/hashicorp/vault/issues/16158</t>
  </si>
  <si>
    <t>2022-06-27 17:43:34+00:00</t>
  </si>
  <si>
    <t>question, storage/raft</t>
  </si>
  <si>
    <t>Bad interaction between Auto Unseal with Azure Key Vault + Integrated Storage</t>
  </si>
  <si>
    <t>Storage fail to setup auto-unseal and also fail to join the raft cluster.</t>
  </si>
  <si>
    <t>https://github.com/hashicorp/vault/issues/16282</t>
  </si>
  <si>
    <t>2022-07-12 20:54:48+00:00</t>
  </si>
  <si>
    <t>auth/approle, core/api, devex, enhancement</t>
  </si>
  <si>
    <t>auth/approle</t>
  </si>
  <si>
    <t>time-stratum: early (temporal coverage); thread-size: short (ensure short/medium/long threads); label-diversity: 'auth/approle' present</t>
  </si>
  <si>
    <t>Addition of creation of Vault App Roles through Go SDK</t>
  </si>
  <si>
    <t>Missing a dedicated method to change the AppRole functionality</t>
  </si>
  <si>
    <t>https://github.com/hashicorp/vault/issues/16367</t>
  </si>
  <si>
    <t>2022-07-19 21:53:42+00:00</t>
  </si>
  <si>
    <t>The transit secrets engine does not support RSA padding scheme pkcs1v15 for encryption.</t>
  </si>
  <si>
    <t xml:space="preserve">The users request to use the Vault transit secrets engine to sign and decrypt with some padding schemes </t>
  </si>
  <si>
    <t>https://github.com/hashicorp/vault/issues/16424</t>
  </si>
  <si>
    <t>2022-07-22 15:12:20+00:00</t>
  </si>
  <si>
    <t>time-stratum: early (temporal coverage); thread-size: long (ensure short/medium/long threads); label-diversity: 'question' present</t>
  </si>
  <si>
    <t>Unable to install vault in Suse Linux Micro OS</t>
  </si>
  <si>
    <t>hashicorp-vault - OS/Virtual Machine</t>
  </si>
  <si>
    <t>Vault cannot be deployed on a specific version of Linux Virtual Machine</t>
  </si>
  <si>
    <t>https://github.com/hashicorp/vault/issues/16529</t>
  </si>
  <si>
    <t>2022-08-02 15:55:24+00:00</t>
  </si>
  <si>
    <t>cryptosec, secret/pki, secret/transit</t>
  </si>
  <si>
    <t>time-stratum: early (temporal coverage); thread-size: short (ensure short/medium/long threads); label-diversity: 'cryptosec' present</t>
  </si>
  <si>
    <t>Digital signature endpoint for PKI engines</t>
  </si>
  <si>
    <t>hashicorp-vault - signature</t>
  </si>
  <si>
    <t>the user make a request to have a digital signature for PKIs engine</t>
  </si>
  <si>
    <t>https://github.com/hashicorp/vault/issues/16750</t>
  </si>
  <si>
    <t>2022-08-16 18:35:10+00:00</t>
  </si>
  <si>
    <t>auth/mfa, bug, core/identity</t>
  </si>
  <si>
    <t>auth/mfa</t>
  </si>
  <si>
    <t>time-stratum: early (temporal coverage); thread-size: short (ensure short/medium/long threads); label-diversity: 'auth/mfa' present</t>
  </si>
  <si>
    <t>/identity/mfa/login-enforcement does not accept an array for identity_group_ids</t>
  </si>
  <si>
    <t>A bug ( /identity/mfa/login-enforcement) encountered when supplied with multiple group ID</t>
  </si>
  <si>
    <t>https://github.com/hashicorp/vault/issues/16820</t>
  </si>
  <si>
    <t>2022-08-22 19:21:05+00:00</t>
  </si>
  <si>
    <t>core/telemetry, enhancement</t>
  </si>
  <si>
    <t>core/telemetry</t>
  </si>
  <si>
    <t>time-stratum: early (temporal coverage); thread-size: short (ensure short/medium/long threads); label-diversity: 'core/telemetry' present</t>
  </si>
  <si>
    <t>[Feature Request] Support Customizable Notifications for certain conditions</t>
  </si>
  <si>
    <t>hashicorp-vault - notifications</t>
  </si>
  <si>
    <t>A request from the suers to have support customizable email notifications</t>
  </si>
  <si>
    <t>https://github.com/hashicorp/vault/issues/17130</t>
  </si>
  <si>
    <t>2022-09-14 07:42:30+00:00</t>
  </si>
  <si>
    <t>auth/oidc, core/cli</t>
  </si>
  <si>
    <t>time-stratum: early (temporal coverage); thread-size: long (ensure short/medium/long threads); label-diversity: 'auth/oidc' present</t>
  </si>
  <si>
    <t>vault cli doesn't listen on secure port during oidc login even when explicitly asked to do so</t>
  </si>
  <si>
    <t>hashicorp-vault - CLI</t>
  </si>
  <si>
    <t>CLI listens to the wrong secure port</t>
  </si>
  <si>
    <t>https://github.com/hashicorp/vault/issues/17246</t>
  </si>
  <si>
    <t>2022-09-21 00:53:19+00:00</t>
  </si>
  <si>
    <t>core/api</t>
  </si>
  <si>
    <t>time-stratum: early (temporal coverage); thread-size: long (ensure short/medium/long threads); label-diversity: 'core/api' present</t>
  </si>
  <si>
    <t>Error making API request - * permission denied</t>
  </si>
  <si>
    <t>hashicorp-vault - API</t>
  </si>
  <si>
    <t>The permission is denied when making API request</t>
  </si>
  <si>
    <t>https://github.com/hashicorp/vault/issues/17325</t>
  </si>
  <si>
    <t>2022-09-27 15:03:15+00:00</t>
  </si>
  <si>
    <t>ecosystem/plugin, enhancement, feature-request, ui</t>
  </si>
  <si>
    <t>ecosystem/plugin</t>
  </si>
  <si>
    <t>time-stratum: early (temporal coverage); thread-size: medium (ensure short/medium/long threads); label-diversity: 'ecosystem/plugin' present</t>
  </si>
  <si>
    <t>Feature UI Improvement: dynamic search and filter for Secret Engines list</t>
  </si>
  <si>
    <t>hashicorp-vault - UI</t>
  </si>
  <si>
    <t>A search engine is requested since the scrolling  feature is not enough</t>
  </si>
  <si>
    <t>https://github.com/hashicorp/vault/issues/17475</t>
  </si>
  <si>
    <t>2022-10-10 15:41:27+00:00</t>
  </si>
  <si>
    <t>auth/jwt-oidc, enhancement, ui</t>
  </si>
  <si>
    <t>auth/jwt-oidc</t>
  </si>
  <si>
    <t>time-stratum: early (temporal coverage); thread-size: medium (ensure short/medium/long threads); label-diversity: 'auth/jwt-oidc' present</t>
  </si>
  <si>
    <t>Support passthrough authentication in the vault UI</t>
  </si>
  <si>
    <t>A common login scheme is requested</t>
  </si>
  <si>
    <t>https://github.com/hashicorp/vault/issues/17737</t>
  </si>
  <si>
    <t>2022-10-29 09:40:02+00:00</t>
  </si>
  <si>
    <t>bug, core/ha, storage/dynamodb</t>
  </si>
  <si>
    <t>time-stratum: early (temporal coverage); thread-size: long (ensure short/medium/long threads); label-diversity: 'bug' present</t>
  </si>
  <si>
    <t>Huge regression: Upgrading HA DynamoDB backend based Vault cluster to 1.11.0 and upwards breaks functional cluster</t>
  </si>
  <si>
    <t>Upgrading to a newer version of databaset (dynamoDB) make the cluster non functional</t>
  </si>
  <si>
    <t>https://github.com/hashicorp/vault/issues/18151</t>
  </si>
  <si>
    <t>2022-11-30 10:35:08+00:00</t>
  </si>
  <si>
    <t>time-stratum: middle (temporal coverage); thread-size: long (ensure short/medium/long threads); label-diversity: 'question' present</t>
  </si>
  <si>
    <t>BUG: Too many arguments (expected 2, got 3)</t>
  </si>
  <si>
    <t>CLI do not show clear expectations with the number of arguments</t>
  </si>
  <si>
    <t>https://github.com/hashicorp/vault/issues/18237</t>
  </si>
  <si>
    <t>2022-12-06 12:01:54+00:00</t>
  </si>
  <si>
    <t>ecosystem, secret/rabbitmq</t>
  </si>
  <si>
    <t>time-stratum: middle (temporal coverage); thread-size: short (ensure short/medium/long threads); label-diversity: 'ecosystem' present</t>
  </si>
  <si>
    <t>RabbitMQ engine should use Orphan tokens</t>
  </si>
  <si>
    <t>Username and password generated by RabbitMQ Engine cannot be used due to immediately deletion</t>
  </si>
  <si>
    <t>https://github.com/hashicorp/vault/issues/18248</t>
  </si>
  <si>
    <t>2022-12-06 21:09:43+00:00</t>
  </si>
  <si>
    <t>storage/gcs</t>
  </si>
  <si>
    <t>time-stratum: middle (temporal coverage); thread-size: medium (ensure short/medium/long threads); label-diversity: 'storage/gcs' present</t>
  </si>
  <si>
    <t>Object name too long on GCS data backend</t>
  </si>
  <si>
    <t>Object name exceed the maximum number of characters</t>
  </si>
  <si>
    <t>https://github.com/hashicorp/vault/issues/18251</t>
  </si>
  <si>
    <t>2022-12-07 05:54:27+00:00</t>
  </si>
  <si>
    <t>core/replication</t>
  </si>
  <si>
    <t>time-stratum: middle (temporal coverage); thread-size: long (ensure short/medium/long threads); label-diversity: 'core/replication' present</t>
  </si>
  <si>
    <t>Issue with the vault cache in the secondary datacenter in multi-datacenter setup</t>
  </si>
  <si>
    <t>vault caches more than needed information that makes successful replication still unusable</t>
  </si>
  <si>
    <t>https://github.com/hashicorp/vault/issues/18433</t>
  </si>
  <si>
    <t>2022-12-16 07:31:32+00:00</t>
  </si>
  <si>
    <t>agent</t>
  </si>
  <si>
    <t>time-stratum: middle (temporal coverage); thread-size: medium (ensure short/medium/long threads); label-diversity: 'agent' present</t>
  </si>
  <si>
    <t>Vault injects missing variable as a variable with &lt;no_value&gt; string value</t>
  </si>
  <si>
    <t>Vault assign wrong value to the variable instead of skipping it.</t>
  </si>
  <si>
    <t>https://github.com/hashicorp/vault/issues/18491</t>
  </si>
  <si>
    <t>2022-12-20 10:30:11+00:00</t>
  </si>
  <si>
    <t>ecosystem, k8s, ui</t>
  </si>
  <si>
    <t>time-stratum: middle (temporal coverage); thread-size: long (ensure short/medium/long threads); label-diversity: 'ecosystem' present</t>
  </si>
  <si>
    <t>Access vault web UI with TLS enabed + raft</t>
  </si>
  <si>
    <t xml:space="preserve">Vault UI with ingress is inaccesible </t>
  </si>
  <si>
    <t>https://github.com/hashicorp/vault/issues/18573</t>
  </si>
  <si>
    <t>2022-12-30 04:15:00+00:00</t>
  </si>
  <si>
    <t>core/api, dependencies</t>
  </si>
  <si>
    <t>time-stratum: middle (temporal coverage); thread-size: medium (ensure short/medium/long threads); label-diversity: 'core/api' present</t>
  </si>
  <si>
    <t>HTTP 301 on wrong http address</t>
  </si>
  <si>
    <t>The user is expecting another output errors</t>
  </si>
  <si>
    <t>https://github.com/hashicorp/vault/issues/19155</t>
  </si>
  <si>
    <t>2023-02-11 09:20:03+00:00</t>
  </si>
  <si>
    <t>time-stratum: middle (temporal coverage); thread-size: short (ensure short/medium/long threads); label-diversity: 'ecosystem/plugin' present</t>
  </si>
  <si>
    <t>[Plugin Portal] Plugin Submission - &lt;PLUGIN NAME&gt;</t>
  </si>
  <si>
    <t>N/A</t>
  </si>
  <si>
    <t>https://github.com/hashicorp/vault/issues/19209</t>
  </si>
  <si>
    <t>2023-02-16 11:06:59+00:00</t>
  </si>
  <si>
    <t>auth/jwt-oidc, ecosystem, enhancement, feature-request</t>
  </si>
  <si>
    <t>time-stratum: middle (temporal coverage); thread-size: medium (ensure short/medium/long threads); label-diversity: 'auth/jwt-oidc' present</t>
  </si>
  <si>
    <t>Support Signing JSON object and providing JWKS url</t>
  </si>
  <si>
    <t>Signing a JWT and providing JWKS URL is not  available to Azure</t>
  </si>
  <si>
    <t>https://github.com/hashicorp/vault/issues/19490</t>
  </si>
  <si>
    <t>2023-03-09 12:49:54+00:00</t>
  </si>
  <si>
    <t>Cannot create JWT role through cli - error message user claim must be defined but it gets provided</t>
  </si>
  <si>
    <t>Vault CLI cannot create vault role, but is resolved in another issue</t>
  </si>
  <si>
    <t>https://github.com/hashicorp/vault/issues/19568</t>
  </si>
  <si>
    <t>2023-03-15 21:09:49+00:00</t>
  </si>
  <si>
    <t>Vault Browser CLI issues</t>
  </si>
  <si>
    <t>CLI has formatting issue</t>
  </si>
  <si>
    <t>https://github.com/hashicorp/vault/issues/19697</t>
  </si>
  <si>
    <t>2023-03-23 12:07:53+00:00</t>
  </si>
  <si>
    <t>core/lease, feature-request</t>
  </si>
  <si>
    <t>core/lease</t>
  </si>
  <si>
    <t>time-stratum: middle (temporal coverage); thread-size: short (ensure short/medium/long threads); label-diversity: 'core/lease' present</t>
  </si>
  <si>
    <t>Lease since first use</t>
  </si>
  <si>
    <t>A feature request track the lease after starting "only" the first time the token gets used.</t>
  </si>
  <si>
    <t>https://github.com/hashicorp/vault/issues/20272</t>
  </si>
  <si>
    <t>2023-04-20 09:25:39+00:00</t>
  </si>
  <si>
    <t>core/cli, enhancement</t>
  </si>
  <si>
    <t>core/cli</t>
  </si>
  <si>
    <t>time-stratum: middle (temporal coverage); thread-size: medium (ensure short/medium/long threads); label-diversity: 'core/cli' present</t>
  </si>
  <si>
    <t>Support providing a different path for the internal token helper than ~/.vault-token (patch included)</t>
  </si>
  <si>
    <t>https://github.com/hashicorp/vault/issues/20589</t>
  </si>
  <si>
    <t>2023-05-15 16:04:28+00:00</t>
  </si>
  <si>
    <t>time-stratum: middle (temporal coverage); thread-size: medium (ensure short/medium/long threads)</t>
  </si>
  <si>
    <t>Vercel is blocking PR process</t>
  </si>
  <si>
    <t>https://github.com/hashicorp/vault/issues/21521</t>
  </si>
  <si>
    <t>2023-06-30 14:52:27+00:00</t>
  </si>
  <si>
    <t>core/seal</t>
  </si>
  <si>
    <t>time-stratum: middle (temporal coverage); thread-size: long (ensure short/medium/long threads); label-diversity: 'core/seal' present</t>
  </si>
  <si>
    <t>Keyring corrupted: unseal failed, invalid key</t>
  </si>
  <si>
    <t>https://github.com/hashicorp/vault/issues/21976</t>
  </si>
  <si>
    <t>2023-07-20 17:00:49+00:00</t>
  </si>
  <si>
    <t>time-stratum: middle (temporal coverage); thread-size: medium (ensure short/medium/long threads); label-diversity: 'ecosystem/plugin' present</t>
  </si>
  <si>
    <t xml:space="preserve">`--args` in `vault plugin register` does not handle multiple arguments correctly when registering auth plugin. </t>
  </si>
  <si>
    <t>https://github.com/hashicorp/vault/issues/22045</t>
  </si>
  <si>
    <t>2023-07-25 10:56:10+00:00</t>
  </si>
  <si>
    <t>CI summary GitHub action fails on community PRs</t>
  </si>
  <si>
    <t>https://github.com/hashicorp/vault/issues/22214</t>
  </si>
  <si>
    <t>2023-08-05 09:56:45+00:00</t>
  </si>
  <si>
    <t>JKS support in the Vault UI for easy management of the keystore</t>
  </si>
  <si>
    <t>https://github.com/hashicorp/vault/issues/22461</t>
  </si>
  <si>
    <t>2023-08-19 07:29:46+00:00</t>
  </si>
  <si>
    <t>auth/aws, core/auth</t>
  </si>
  <si>
    <t>auth/aws</t>
  </si>
  <si>
    <t>time-stratum: middle (temporal coverage); thread-size: medium (ensure short/medium/long threads); label-diversity: 'auth/aws' present</t>
  </si>
  <si>
    <t>Add Role ARN to AWS IAM Authentication Entity Alias Names.</t>
  </si>
  <si>
    <t>https://github.com/hashicorp/vault/issues/22578</t>
  </si>
  <si>
    <t>2023-08-27 06:24:04+00:00</t>
  </si>
  <si>
    <t>GCPCKMS method starts pods in a crashloop</t>
  </si>
  <si>
    <t>https://github.com/hashicorp/vault/issues/22602</t>
  </si>
  <si>
    <t>2023-08-29 11:09:52+00:00</t>
  </si>
  <si>
    <t>ecosystem, secret/aws</t>
  </si>
  <si>
    <t>AWS Secrets Engine - Root IAM credentials can't be rotated with the region parameter set and AWS credentials can't be generated without the region parameter set</t>
  </si>
  <si>
    <t>https://github.com/hashicorp/vault/issues/23793</t>
  </si>
  <si>
    <t>2023-10-23 17:23:22+00:00</t>
  </si>
  <si>
    <t>auth/k8s, storage/dynamodb</t>
  </si>
  <si>
    <t>auth/k8s</t>
  </si>
  <si>
    <t>time-stratum: middle (temporal coverage); thread-size: medium (ensure short/medium/long threads); label-diversity: 'auth/k8s' present</t>
  </si>
  <si>
    <t>Bug: failed to persist packed storage entry: ValidationException: Item size has exceeded the maximum allowed size</t>
  </si>
  <si>
    <t>https://github.com/hashicorp/vault/issues/23800</t>
  </si>
  <si>
    <t>2023-10-24 08:00:43+00:00</t>
  </si>
  <si>
    <t>auth/k8s, bug, ui</t>
  </si>
  <si>
    <t>time-stratum: middle (temporal coverage); thread-size: long (ensure short/medium/long threads); label-diversity: 'auth/k8s' present</t>
  </si>
  <si>
    <t>web UI can not list k8s roles</t>
  </si>
  <si>
    <t>https://github.com/hashicorp/vault/issues/23941</t>
  </si>
  <si>
    <t>2023-11-01 13:06:52+00:00</t>
  </si>
  <si>
    <t>core/policy, secret/kv, ui</t>
  </si>
  <si>
    <t>time-stratum: middle (temporal coverage); thread-size: long (ensure short/medium/long threads); label-diversity: 'core/policy' present</t>
  </si>
  <si>
    <t>UI - user can't delete secret</t>
  </si>
  <si>
    <t>https://github.com/hashicorp/vault/issues/24039</t>
  </si>
  <si>
    <t>2023-11-06 18:49:08+00:00</t>
  </si>
  <si>
    <t>api-versioning</t>
  </si>
  <si>
    <t>time-stratum: middle (temporal coverage); thread-size: medium (ensure short/medium/long threads); label-diversity: 'api-versioning' present</t>
  </si>
  <si>
    <t>API: Endpoints change the error response format</t>
  </si>
  <si>
    <t>https://github.com/hashicorp/vault/issues/24255</t>
  </si>
  <si>
    <t>2023-11-27 11:53:02+00:00</t>
  </si>
  <si>
    <t>error-messages, feature-request</t>
  </si>
  <si>
    <t>error-messages</t>
  </si>
  <si>
    <t>time-stratum: middle (temporal coverage); thread-size: short (ensure short/medium/long threads); label-diversity: 'error-messages' present</t>
  </si>
  <si>
    <t>Error messages with more context</t>
  </si>
  <si>
    <t>https://github.com/hashicorp/vault/issues/24269</t>
  </si>
  <si>
    <t>2023-11-28 11:21:05+00:00</t>
  </si>
  <si>
    <t xml:space="preserve">alicloud kms deprecated in favour of dedicated kms </t>
  </si>
  <si>
    <t>https://github.com/hashicorp/vault/issues/24604</t>
  </si>
  <si>
    <t>2023-12-20 20:14:10+00:00</t>
  </si>
  <si>
    <t>"publishNotReadyAddresses: false" Prevents new vault nodes from joining raft.</t>
  </si>
  <si>
    <t>https://github.com/hashicorp/vault/issues/24617</t>
  </si>
  <si>
    <t>2023-12-21 03:34:06+00:00</t>
  </si>
  <si>
    <t>Vault uses mysql and restarts regularly</t>
  </si>
  <si>
    <t>https://github.com/hashicorp/vault/issues/24725</t>
  </si>
  <si>
    <t>2024-01-09 15:11:28+00:00</t>
  </si>
  <si>
    <t>Incorrect processing of sinks `aad_env_var` with proxy/agent</t>
  </si>
  <si>
    <t>https://github.com/hashicorp/vault/issues/24853</t>
  </si>
  <si>
    <t>2024-01-13 20:50:08+00:00</t>
  </si>
  <si>
    <t>Allow multiple aliases for the same (entity, mount_accessor) tuple</t>
  </si>
  <si>
    <t>https://github.com/hashicorp/vault/issues/24956</t>
  </si>
  <si>
    <t>2024-01-19 14:11:10+00:00</t>
  </si>
  <si>
    <t>Tailscale Auth Method</t>
  </si>
  <si>
    <t>https://github.com/hashicorp/vault/issues/25506</t>
  </si>
  <si>
    <t>2024-02-19 09:31:55+00:00</t>
  </si>
  <si>
    <t>core/cli, secret/kv</t>
  </si>
  <si>
    <t>time-stratum: late (temporal coverage); thread-size: medium (ensure short/medium/long threads); label-diversity: 'core/cli' present</t>
  </si>
  <si>
    <t>Vault CLI KV2 undelete still fails for multi-level paths</t>
  </si>
  <si>
    <t>https://github.com/hashicorp/vault/issues/26164</t>
  </si>
  <si>
    <t>2024-03-26 17:20:01+00:00</t>
  </si>
  <si>
    <t>time-stratum: late (temporal coverage); thread-size: short (ensure short/medium/long threads); label-diversity: 'auth/approle' present</t>
  </si>
  <si>
    <t>approle user_lockout_duration doesn't work</t>
  </si>
  <si>
    <t>https://github.com/hashicorp/vault/issues/26180</t>
  </si>
  <si>
    <t>2024-03-27 15:48:49+00:00</t>
  </si>
  <si>
    <t>core</t>
  </si>
  <si>
    <t>time-stratum: late (temporal coverage); thread-size: long (ensure short/medium/long threads); label-diversity: 'core' present</t>
  </si>
  <si>
    <t>GET /sys/mounts/:path is presenting unexpected errors</t>
  </si>
  <si>
    <t>https://github.com/hashicorp/vault/issues/27343</t>
  </si>
  <si>
    <t>2024-06-04 09:36:31+00:00</t>
  </si>
  <si>
    <t>auth/jwt-oidc, bug</t>
  </si>
  <si>
    <t>time-stratum: late (temporal coverage); thread-size: long (ensure short/medium/long threads); label-diversity: 'auth/jwt-oidc' present</t>
  </si>
  <si>
    <t>JWT authentication checks bound_audiences despite bound_claims is defined in v1.16.3</t>
  </si>
  <si>
    <t>https://github.com/hashicorp/vault/issues/27344</t>
  </si>
  <si>
    <t>2024-06-04 10:58:46+00:00</t>
  </si>
  <si>
    <t>core, core/ha, storage/raft</t>
  </si>
  <si>
    <t>time-stratum: late (temporal coverage); thread-size: short (ensure short/medium/long threads); label-diversity: 'core' present</t>
  </si>
  <si>
    <t>New nodes cannot join to existing cluster</t>
  </si>
  <si>
    <t>https://github.com/hashicorp/vault/issues/27805</t>
  </si>
  <si>
    <t>2024-07-18 03:59:36+00:00</t>
  </si>
  <si>
    <t>enhancement, secret/database</t>
  </si>
  <si>
    <t>enhancement</t>
  </si>
  <si>
    <t>time-stratum: late (temporal coverage); thread-size: short (ensure short/medium/long threads); label-diversity: 'enhancement' present</t>
  </si>
  <si>
    <t>Add support for private keys for database authentication to use passphrases</t>
  </si>
  <si>
    <t>https://github.com/hashicorp/vault/issues/27935</t>
  </si>
  <si>
    <t>2024-08-01 12:49:39+00:00</t>
  </si>
  <si>
    <t>dependencies, release/packaging</t>
  </si>
  <si>
    <t>dependencies</t>
  </si>
  <si>
    <t>time-stratum: late (temporal coverage); thread-size: long (ensure short/medium/long threads); label-diversity: 'dependencies' present</t>
  </si>
  <si>
    <t>Packaging switch from valid `simple` unit to `notify` unit results in abandoned processes.</t>
  </si>
  <si>
    <t>https://github.com/hashicorp/vault/issues/28073</t>
  </si>
  <si>
    <t>2024-08-14 06:09:58+00:00</t>
  </si>
  <si>
    <t>auth/okta, core/auth, feature-request</t>
  </si>
  <si>
    <t>auth/okta</t>
  </si>
  <si>
    <t>time-stratum: late (temporal coverage); thread-size: long (ensure short/medium/long threads); label-diversity: 'auth/okta' present</t>
  </si>
  <si>
    <t>Unseal Vault using Android, or Iphone - Vault App</t>
  </si>
  <si>
    <t>usability (the issue does not use the usual template but it describes the )</t>
  </si>
  <si>
    <t>https://github.com/hashicorp/vault/issues/28457</t>
  </si>
  <si>
    <t>2024-09-20 07:02:59+00:00</t>
  </si>
  <si>
    <t>Adding Elestio as deployment option</t>
  </si>
  <si>
    <t>https://github.com/hashicorp/vault/issues/28738</t>
  </si>
  <si>
    <t>2024-10-21 09:38:22+00:00</t>
  </si>
  <si>
    <t>secret/database, waiting-for-response</t>
  </si>
  <si>
    <t>secret/database</t>
  </si>
  <si>
    <t>time-stratum: late (temporal coverage); thread-size: long (ensure short/medium/long threads); label-diversity: 'secret/database' present</t>
  </si>
  <si>
    <t xml:space="preserve">Vault executing revocation statements before postgresql credentials expiry </t>
  </si>
  <si>
    <t>https://github.com/hashicorp/vault/issues/28792</t>
  </si>
  <si>
    <t>2024-10-29 14:13:41+00:00</t>
  </si>
  <si>
    <t>core/token, reproduced</t>
  </si>
  <si>
    <t>core/token</t>
  </si>
  <si>
    <t>time-stratum: late (temporal coverage); thread-size: long (ensure short/medium/long threads); label-diversity: 'core/token' present</t>
  </si>
  <si>
    <t>Vault api sending multiple errors as a single string in json</t>
  </si>
  <si>
    <t>https://github.com/hashicorp/vault/issues/28993</t>
  </si>
  <si>
    <t>2024-11-22 16:42:51+00:00</t>
  </si>
  <si>
    <t>core/policy, question</t>
  </si>
  <si>
    <t>time-stratum: late (temporal coverage); thread-size: long (ensure short/medium/long threads); label-diversity: 'core/policy' present</t>
  </si>
  <si>
    <t>VAULT login Method OIDC : default path</t>
  </si>
  <si>
    <t>https://github.com/hashicorp/vault/issues/29033</t>
  </si>
  <si>
    <t>2024-11-26 22:09:21+00:00</t>
  </si>
  <si>
    <t>core/ha, question</t>
  </si>
  <si>
    <t>time-stratum: late (temporal coverage); thread-size: long (ensure short/medium/long threads); label-diversity: 'core/ha' present</t>
  </si>
  <si>
    <t>Leader unresponsive, unavailable</t>
  </si>
  <si>
    <t>https://github.com/hashicorp/vault/issues/29099</t>
  </si>
  <si>
    <t>2024-12-05 02:50:35+00:00</t>
  </si>
  <si>
    <t>time-stratum: late (temporal coverage); thread-size: long (ensure short/medium/long threads)</t>
  </si>
  <si>
    <t>Cannot configure working HTTPS Vault installation? Vault program broken (vs. lack of documentation)?</t>
  </si>
  <si>
    <t>https://github.com/hashicorp/vault/issues/29101</t>
  </si>
  <si>
    <t>2024-12-05 11:31:36+00:00</t>
  </si>
  <si>
    <t>feature-request, ui</t>
  </si>
  <si>
    <t>feature-request</t>
  </si>
  <si>
    <t>time-stratum: late (temporal coverage); thread-size: long (ensure short/medium/long threads); label-diversity: 'feature-request' present</t>
  </si>
  <si>
    <t>Please make namespaces navigation more user friendly</t>
  </si>
  <si>
    <t>https://github.com/hashicorp/vault/issues/29179</t>
  </si>
  <si>
    <t>2024-12-13 11:10:59+00:00</t>
  </si>
  <si>
    <t>agent, bug</t>
  </si>
  <si>
    <t>time-stratum: late (temporal coverage); thread-size: medium (ensure short/medium/long threads); label-diversity: 'agent' present</t>
  </si>
  <si>
    <t xml:space="preserve">Vault agent randomly fails to authenticate </t>
  </si>
  <si>
    <t>https://github.com/hashicorp/vault/issues/29287</t>
  </si>
  <si>
    <t>2025-01-06 14:24:48+00:00</t>
  </si>
  <si>
    <t>secret/kv</t>
  </si>
  <si>
    <t>time-stratum: late (temporal coverage); thread-size: medium (ensure short/medium/long threads); label-diversity: 'secret/kv' present</t>
  </si>
  <si>
    <t>Conditional policies</t>
  </si>
  <si>
    <t>https://github.com/hashicorp/vault/issues/29362</t>
  </si>
  <si>
    <t>2025-01-16 13:54:06+00:00</t>
  </si>
  <si>
    <t>secret/pki</t>
  </si>
  <si>
    <t>time-stratum: late (temporal coverage); thread-size: medium (ensure short/medium/long threads); label-diversity: 'secret/pki' present</t>
  </si>
  <si>
    <t>The Generate root API doesn't consider changes of field `key_usage`</t>
  </si>
  <si>
    <t>https://github.com/hashicorp/vault/issues/29417</t>
  </si>
  <si>
    <t>2025-01-24 23:37:34+00:00</t>
  </si>
  <si>
    <t>bug, release/build</t>
  </si>
  <si>
    <t>time-stratum: late (temporal coverage); thread-size: short (ensure short/medium/long threads); label-diversity: 'bug' present</t>
  </si>
  <si>
    <t>Using a shell to exec the `token_helper` is unreliable</t>
  </si>
  <si>
    <t>usability (user's body_text shows he cited another issue[https://github.com/hashicorp/vault/blob/04e75372fb30a4ec03645ca1de60bba54c2bc9dc/api/tokenhelper/helper_external.go#L23], meaning he hasread some form of guide)</t>
  </si>
  <si>
    <t>https://github.com/hashicorp/vault/issues/29928</t>
  </si>
  <si>
    <t>2025-03-14 16:13:17+00:00</t>
  </si>
  <si>
    <t>time-stratum: late (temporal coverage); thread-size: short (ensure short/medium/long threads); label-diversity: 'secret/pki' present</t>
  </si>
  <si>
    <t>PKI sign not_after can exceed max_ttl</t>
  </si>
  <si>
    <t>https://github.com/hashicorp/vault/issues/30362</t>
  </si>
  <si>
    <t>2025-04-24 07:06:01+00:00</t>
  </si>
  <si>
    <t>enhancement, secret/pki</t>
  </si>
  <si>
    <t>time-stratum: late (temporal coverage); thread-size: medium (ensure short/medium/long threads); label-diversity: 'enhancement' present</t>
  </si>
  <si>
    <t>Limit PKI role to allow hostnames without domain part (shortname) as SAN</t>
  </si>
  <si>
    <t>https://github.com/hashicorp/vault/issues/30858</t>
  </si>
  <si>
    <t>2025-06-05 10:44:24+00:00</t>
  </si>
  <si>
    <t>docs, tls</t>
  </si>
  <si>
    <t>docs</t>
  </si>
  <si>
    <t>time-stratum: late (temporal coverage); thread-size: medium (ensure short/medium/long threads); label-diversity: 'docs' present</t>
  </si>
  <si>
    <t>Docs: Improve tcp-tls docs regarding tls ciphers</t>
  </si>
  <si>
    <t>https://github.com/hashicorp/vault/issues/31343</t>
  </si>
  <si>
    <t>2025-07-21 18:34:38+00:00</t>
  </si>
  <si>
    <t>core/seal, enhancement</t>
  </si>
  <si>
    <t>time-stratum: late (temporal coverage); thread-size: short (ensure short/medium/long threads); label-diversity: 'core/seal' present</t>
  </si>
  <si>
    <t>IBMCloud Auto Unseal</t>
  </si>
  <si>
    <t>https://github.com/hashicorp/vault/issues/31372</t>
  </si>
  <si>
    <t>2025-07-24 22:04:56+00:00</t>
  </si>
  <si>
    <t>bug, storage/raft</t>
  </si>
  <si>
    <t>Can't use AWS auto-join in me-central-1 region since v1.20.0</t>
  </si>
  <si>
    <t>https://github.com/hashicorp/vault/issues/31615</t>
  </si>
  <si>
    <t>2025-10-30 16:49:59+00:00</t>
  </si>
  <si>
    <t>time-stratum: late (temporal coverage); thread-size: short (ensure short/medium/long threads); label-diversity: 'core/telemetry' present</t>
  </si>
  <si>
    <t>operator diagnose reports incorrect error for telemetry configuration</t>
  </si>
  <si>
    <t>https://github.com/hashicorp/vault/issues/31621</t>
  </si>
  <si>
    <t>2025-10-31 22:58:05+00:00</t>
  </si>
  <si>
    <t>sdk</t>
  </si>
  <si>
    <t>time-stratum: late (temporal coverage); thread-size: medium (ensure short/medium/long threads); label-diversity: 'sdk' present</t>
  </si>
  <si>
    <t>SDK: framework.TypeKVPairs only handles one KV pair.</t>
  </si>
  <si>
    <t>notaryproject/notation</t>
  </si>
  <si>
    <t>https://github.com/notaryproject/notation/issues/211</t>
  </si>
  <si>
    <t>2022-06-28 07:02:17+00:00</t>
  </si>
  <si>
    <t>notation auth to CNCF ORAS registry</t>
  </si>
  <si>
    <t>https://github.com/notaryproject/notation/issues/233</t>
  </si>
  <si>
    <t>2022-07-06 23:26:22+00:00</t>
  </si>
  <si>
    <t>Stale</t>
  </si>
  <si>
    <t>time-stratum: early (temporal coverage); thread-size: medium (ensure short/medium/long threads); label-diversity: 'Stale' present</t>
  </si>
  <si>
    <t>Update notation pull command</t>
  </si>
  <si>
    <t>https://github.com/notaryproject/notation/issues/320</t>
  </si>
  <si>
    <t>2022-08-30 06:25:45+00:00</t>
  </si>
  <si>
    <t>Failed to sign images using self-signed certificates created from Key vault</t>
  </si>
  <si>
    <t>https://github.com/notaryproject/notation/issues/379</t>
  </si>
  <si>
    <t>2022-10-12 04:16:26+00:00</t>
  </si>
  <si>
    <t>Remove signature cache for all(sign, verify, etc) command.</t>
  </si>
  <si>
    <t>https://github.com/notaryproject/notation/issues/383</t>
  </si>
  <si>
    <t>2022-10-12 16:05:27+00:00</t>
  </si>
  <si>
    <t>UX</t>
  </si>
  <si>
    <t>time-stratum: early (temporal coverage); thread-size: short (ensure short/medium/long threads); label-diversity: 'UX' present</t>
  </si>
  <si>
    <t>Add examples for notation command help doc</t>
  </si>
  <si>
    <t>https://github.com/notaryproject/notation/issues/547</t>
  </si>
  <si>
    <t>2023-02-10 04:15:41+00:00</t>
  </si>
  <si>
    <t>documentation</t>
  </si>
  <si>
    <t>time-stratum: middle (temporal coverage); thread-size: medium (ensure short/medium/long threads); label-diversity: 'documentation' present</t>
  </si>
  <si>
    <t>`SkippedByTrustPolicy` from JSON output of `notation verify` is not documented</t>
  </si>
  <si>
    <t>https://github.com/notaryproject/notation/issues/574</t>
  </si>
  <si>
    <t>2023-02-28 07:26:32+00:00</t>
  </si>
  <si>
    <t>enhancement, triage</t>
  </si>
  <si>
    <t>time-stratum: middle (temporal coverage); thread-size: short (ensure short/medium/long threads); label-diversity: 'enhancement' present</t>
  </si>
  <si>
    <t>Change the default signature manifest</t>
  </si>
  <si>
    <t>https://github.com/notaryproject/notation/issues/655</t>
  </si>
  <si>
    <t>2023-04-28 21:42:30+00:00</t>
  </si>
  <si>
    <t>Image Verification for containerd</t>
  </si>
  <si>
    <t>https://github.com/notaryproject/notation/issues/659</t>
  </si>
  <si>
    <t>2023-05-09 06:00:27+00:00</t>
  </si>
  <si>
    <t>Mark feature "support OCI Referrer API" as experimental feature</t>
  </si>
  <si>
    <t>https://github.com/notaryproject/notation/issues/671</t>
  </si>
  <si>
    <t>2023-05-17 15:30:57+00:00</t>
  </si>
  <si>
    <t>bug, triage</t>
  </si>
  <si>
    <t xml:space="preserve">Vote for release of 1.0.0-rc.5 of notation CLI </t>
  </si>
  <si>
    <t>https://github.com/notaryproject/notation/issues/829</t>
  </si>
  <si>
    <t>2023-11-12 15:04:38+00:00</t>
  </si>
  <si>
    <t>time-stratum: late (temporal coverage); thread-size: long (ensure short/medium/long threads); label-diversity: 'enhancement' present</t>
  </si>
  <si>
    <t>docs: invalid signing time fail to sign prompt improvement</t>
  </si>
  <si>
    <t>https://github.com/notaryproject/notation/issues/851</t>
  </si>
  <si>
    <t>2023-12-19 09:00:22+00:00</t>
  </si>
  <si>
    <t>Fix of setHttpDebugLog function</t>
  </si>
  <si>
    <t>https://github.com/notaryproject/notation/issues/880</t>
  </si>
  <si>
    <t>2024-01-29 23:55:42+00:00</t>
  </si>
  <si>
    <t>time-stratum: late (temporal coverage); thread-size: long (ensure short/medium/long threads); label-diversity: 'Stale' present</t>
  </si>
  <si>
    <t>Plan for Notation 1.2.0 release</t>
  </si>
  <si>
    <t>https://github.com/notaryproject/notation/issues/1012</t>
  </si>
  <si>
    <t>2024-08-16 01:07:06+00:00</t>
  </si>
  <si>
    <t>time-stratum: late (temporal coverage); thread-size: medium (ensure short/medium/long threads); label-diversity: 'documentation' present</t>
  </si>
  <si>
    <t>Clean up blob sign/verify specs in `v1.1.1`</t>
  </si>
  <si>
    <t>https://github.com/notaryproject/notation/issues/1239</t>
  </si>
  <si>
    <t>2025-03-26 03:00:21+00:00</t>
  </si>
  <si>
    <t>Delete the named store dir if empty after `notation cert delete`</t>
  </si>
  <si>
    <t>openpubkey/openpubkey</t>
  </si>
  <si>
    <t>https://github.com/openpubkey/openpubkey/issues/4</t>
  </si>
  <si>
    <t>2023-09-20 13:14:15+00:00</t>
  </si>
  <si>
    <t>Add pluggability for OIDC providers</t>
  </si>
  <si>
    <t>https://github.com/openpubkey/openpubkey/issues/61</t>
  </si>
  <si>
    <t>2023-11-15 18:00:33+00:00</t>
  </si>
  <si>
    <t>How do we deal with missing/non-unique `kid` on JWKS endpoint?</t>
  </si>
  <si>
    <t>https://github.com/openpubkey/openpubkey/issues/100</t>
  </si>
  <si>
    <t>2024-02-19 23:18:09+00:00</t>
  </si>
  <si>
    <t>time-stratum: early (temporal coverage); thread-size: medium (ensure short/medium/long threads); label-diversity: 'enhancement' present</t>
  </si>
  <si>
    <t xml:space="preserve">Design for Gitlab CI support </t>
  </si>
  <si>
    <t>https://github.com/openpubkey/openpubkey/issues/137</t>
  </si>
  <si>
    <t>2024-03-18 21:46:49+00:00</t>
  </si>
  <si>
    <t>time-stratum: middle (temporal coverage); thread-size: medium (ensure short/medium/long threads); label-diversity: 'enhancement' present</t>
  </si>
  <si>
    <t>Add support for verifying by JTK in VerifyProvider if not kid is found</t>
  </si>
  <si>
    <t>https://github.com/openpubkey/openpubkey/issues/157</t>
  </si>
  <si>
    <t>2024-03-26 23:49:20+00:00</t>
  </si>
  <si>
    <t>Investigate RSA SecurID OpenID Provider</t>
  </si>
  <si>
    <t>https://github.com/openpubkey/openpubkey/issues/226</t>
  </si>
  <si>
    <t>2025-01-31 02:00:34+00:00</t>
  </si>
  <si>
    <t>Singleton to manage user's browser window</t>
  </si>
  <si>
    <t>https://github.com/openpubkey/openpubkey/issues/254</t>
  </si>
  <si>
    <t>2025-02-19 00:36:40+00:00</t>
  </si>
  <si>
    <t>Create support/test matrix for opkssh</t>
  </si>
  <si>
    <t>sigstore/cosign</t>
  </si>
  <si>
    <t>https://github.com/sigstore/cosign/issues/1048</t>
  </si>
  <si>
    <t>2021-11-14 01:55:50+00:00</t>
  </si>
  <si>
    <t>time-stratum: early (temporal coverage); thread-size: short (ensure short/medium/long threads); label-diversity: 'enhancement' present</t>
  </si>
  <si>
    <t>Machine-Readable output for a few cosign subcommands</t>
  </si>
  <si>
    <t>https://github.com/sigstore/cosign/issues/1215</t>
  </si>
  <si>
    <t>2021-12-15 13:48:25+00:00</t>
  </si>
  <si>
    <t>Prefer using the unencrypted key for signing images so we don't have to manage the encrypted key and the password.</t>
  </si>
  <si>
    <t>https://github.com/sigstore/cosign/issues/1288</t>
  </si>
  <si>
    <t>2022-01-07 20:22:34+00:00</t>
  </si>
  <si>
    <t>Add cosign configuration file</t>
  </si>
  <si>
    <t>https://github.com/sigstore/cosign/issues/1321</t>
  </si>
  <si>
    <t>2022-01-14 20:13:38+00:00</t>
  </si>
  <si>
    <t>time-stratum: early (temporal coverage); thread-size: long (ensure short/medium/long threads); label-diversity: 'enhancement' present</t>
  </si>
  <si>
    <t>Add DSSE support to verify-attestation</t>
  </si>
  <si>
    <t>https://github.com/sigstore/cosign/issues/1323</t>
  </si>
  <si>
    <t>2022-01-15 11:48:30+00:00</t>
  </si>
  <si>
    <t>Fix code scanning alert - Pinned-Dependencies</t>
  </si>
  <si>
    <t>https://github.com/sigstore/cosign/issues/1385</t>
  </si>
  <si>
    <t>2022-02-01 03:06:54+00:00</t>
  </si>
  <si>
    <t>Review unit and integration tests</t>
  </si>
  <si>
    <t>https://github.com/sigstore/cosign/issues/1443</t>
  </si>
  <si>
    <t>2022-02-10 23:09:17+00:00</t>
  </si>
  <si>
    <t>no-issue-activity, question</t>
  </si>
  <si>
    <t>no-issue-activity</t>
  </si>
  <si>
    <t>time-stratum: early (temporal coverage); thread-size: long (ensure short/medium/long threads); label-diversity: 'no-issue-activity' present</t>
  </si>
  <si>
    <t>Can cosign replace SignTool.exe for Windows Binaries?</t>
  </si>
  <si>
    <t>https://github.com/sigstore/cosign/issues/1554</t>
  </si>
  <si>
    <t>2022-03-04 21:47:42+00:00</t>
  </si>
  <si>
    <t>Allow specifying CA chain when not using Fulcio</t>
  </si>
  <si>
    <t>https://github.com/sigstore/cosign/issues/1642</t>
  </si>
  <si>
    <t>2022-03-21 20:14:34+00:00</t>
  </si>
  <si>
    <t xml:space="preserve">[cosigned] Enforce authority key errors </t>
  </si>
  <si>
    <t>https://github.com/sigstore/cosign/issues/1653</t>
  </si>
  <si>
    <t>2022-03-24 03:53:58+00:00</t>
  </si>
  <si>
    <t>Does webhook pull images for the sidecar and/ or multiple image repos</t>
  </si>
  <si>
    <t>https://github.com/sigstore/cosign/issues/1655</t>
  </si>
  <si>
    <t>2022-03-24 22:26:36+00:00</t>
  </si>
  <si>
    <t>Allow specifying ImagePullSecrets in ClusterImagePolicies</t>
  </si>
  <si>
    <t>https://github.com/sigstore/cosign/issues/1847</t>
  </si>
  <si>
    <t>2022-05-06 13:44:25+00:00</t>
  </si>
  <si>
    <t>`--certificate` or `--cert`?</t>
  </si>
  <si>
    <t>https://github.com/sigstore/cosign/issues/1853</t>
  </si>
  <si>
    <t>2022-05-07 02:24:33+00:00</t>
  </si>
  <si>
    <t>"make cosign" fails with missing ',' in argument list and malformed module path "embed"</t>
  </si>
  <si>
    <t>https://github.com/sigstore/cosign/issues/1994</t>
  </si>
  <si>
    <t>2022-06-14 13:45:13+00:00</t>
  </si>
  <si>
    <t>cosign doesn't get image metadata from JFrog Artifactory Enterprise 6.16.0 rev 61600900</t>
  </si>
  <si>
    <t>https://github.com/sigstore/cosign/issues/2053</t>
  </si>
  <si>
    <t>2022-07-06 19:03:37+00:00</t>
  </si>
  <si>
    <t>Rename --k8s-keychain flag</t>
  </si>
  <si>
    <t>https://github.com/sigstore/cosign/issues/2068</t>
  </si>
  <si>
    <t>2022-07-13 17:54:12+00:00</t>
  </si>
  <si>
    <t>Digest mismatch when fetching module version v1.9.0</t>
  </si>
  <si>
    <t>https://github.com/sigstore/cosign/issues/2097</t>
  </si>
  <si>
    <t>2022-07-23 19:57:58+00:00</t>
  </si>
  <si>
    <t>enhancement, good first issue</t>
  </si>
  <si>
    <t>time-stratum: middle (temporal coverage); thread-size: long (ensure short/medium/long threads); label-diversity: 'enhancement' present</t>
  </si>
  <si>
    <t>sign-blob attemps to read the whole file into memory</t>
  </si>
  <si>
    <t>https://github.com/sigstore/cosign/issues/2382</t>
  </si>
  <si>
    <t>2022-10-25 19:47:05+00:00</t>
  </si>
  <si>
    <t>Require embedded SCT on verification by default</t>
  </si>
  <si>
    <t>https://github.com/sigstore/cosign/issues/2419</t>
  </si>
  <si>
    <t>2022-11-07 18:52:24+00:00</t>
  </si>
  <si>
    <t>Remove non-GA APIs from experimental sign-blob verification flow</t>
  </si>
  <si>
    <t>https://github.com/sigstore/cosign/issues/2462</t>
  </si>
  <si>
    <t>2022-11-16 00:41:32+00:00</t>
  </si>
  <si>
    <t>verify* subcommands should share signature verification flag parsing</t>
  </si>
  <si>
    <t>https://github.com/sigstore/cosign/issues/2516</t>
  </si>
  <si>
    <t>2022-12-06 21:42:15+00:00</t>
  </si>
  <si>
    <t>Encourage signing OCI artifacts that *you* produced, not that the registry gives you</t>
  </si>
  <si>
    <t>https://github.com/sigstore/cosign/issues/2518</t>
  </si>
  <si>
    <t>2022-12-06 23:52:21+00:00</t>
  </si>
  <si>
    <t>Cosign versioning policy: make one and enforce it</t>
  </si>
  <si>
    <t>https://github.com/sigstore/cosign/issues/2568</t>
  </si>
  <si>
    <t>2022-12-21 19:45:44+00:00</t>
  </si>
  <si>
    <t>FR: BYO PKI Revocation: CA-issued cert</t>
  </si>
  <si>
    <t>https://github.com/sigstore/cosign/issues/2593</t>
  </si>
  <si>
    <t>2023-01-04 19:42:42+00:00</t>
  </si>
  <si>
    <t>feat: Cleanup KeyOpts for irrelevant options.</t>
  </si>
  <si>
    <t>https://github.com/sigstore/cosign/issues/2832</t>
  </si>
  <si>
    <t>2023-03-23 17:01:38+00:00</t>
  </si>
  <si>
    <t>Add quiet flag to cosign cli</t>
  </si>
  <si>
    <t>https://github.com/sigstore/cosign/issues/2858</t>
  </si>
  <si>
    <t>2023-04-03 14:34:15+00:00</t>
  </si>
  <si>
    <t>How to reproduce v1.13 behaviour with v2 in a BYO PKI scenario</t>
  </si>
  <si>
    <t>https://github.com/sigstore/cosign/issues/3025</t>
  </si>
  <si>
    <t>2023-06-01 11:38:57+00:00</t>
  </si>
  <si>
    <t>bug, duplicate</t>
  </si>
  <si>
    <t>time-stratum: middle (temporal coverage); thread-size: short (ensure short/medium/long threads); label-diversity: 'bug' present</t>
  </si>
  <si>
    <t xml:space="preserve">Issue creating a Key in AKV using Cosign tool </t>
  </si>
  <si>
    <t>https://github.com/sigstore/cosign/issues/3235</t>
  </si>
  <si>
    <t>2023-09-11 21:12:55+00:00</t>
  </si>
  <si>
    <t>How to verify custom attestations</t>
  </si>
  <si>
    <t>https://github.com/sigstore/cosign/issues/3260</t>
  </si>
  <si>
    <t>2023-09-25 20:03:01+00:00</t>
  </si>
  <si>
    <t>Improve `dockerfile verify`</t>
  </si>
  <si>
    <t>https://github.com/sigstore/cosign/issues/3330</t>
  </si>
  <si>
    <t>2023-10-30 16:05:21+00:00</t>
  </si>
  <si>
    <t>No artifact sig files for package manager files?</t>
  </si>
  <si>
    <t>https://github.com/sigstore/cosign/issues/3340</t>
  </si>
  <si>
    <t>2023-11-06 10:59:50+00:00</t>
  </si>
  <si>
    <t>time-stratum: late (temporal coverage); thread-size: short (ensure short/medium/long threads); label-diversity: 'question' present</t>
  </si>
  <si>
    <t>Cosign keyless image signing with Azure</t>
  </si>
  <si>
    <t>https://github.com/sigstore/cosign/issues/3343</t>
  </si>
  <si>
    <t>2023-11-06 19:57:08+00:00</t>
  </si>
  <si>
    <t>Add end-to-end testing for PKCS11 token signing</t>
  </si>
  <si>
    <t>https://github.com/sigstore/cosign/issues/3368</t>
  </si>
  <si>
    <t>2023-11-16 12:22:16+00:00</t>
  </si>
  <si>
    <t>time-stratum: late (temporal coverage); thread-size: long (ensure short/medium/long threads); label-diversity: 'question' present</t>
  </si>
  <si>
    <t>Is it possible to skip TUF?</t>
  </si>
  <si>
    <t>https://github.com/sigstore/cosign/issues/3465</t>
  </si>
  <si>
    <t>2024-01-02 23:35:32+00:00</t>
  </si>
  <si>
    <t>How to use OtherName SAN attribute</t>
  </si>
  <si>
    <t>https://github.com/sigstore/cosign/issues/3671</t>
  </si>
  <si>
    <t>2024-04-21 10:48:54+00:00</t>
  </si>
  <si>
    <t>time-stratum: late (temporal coverage); thread-size: medium (ensure short/medium/long threads); label-diversity: 'bug' present</t>
  </si>
  <si>
    <t>cosign verify with certificates requires the --certificate-identity and --certificate-oidc-issuer flags</t>
  </si>
  <si>
    <t>https://github.com/sigstore/cosign/issues/3976</t>
  </si>
  <si>
    <t>2024-12-17 06:54:57+00:00</t>
  </si>
  <si>
    <t>Intermediate cert and root CA must come via same source for verify to succeed</t>
  </si>
  <si>
    <t>https://github.com/sigstore/cosign/issues/4012</t>
  </si>
  <si>
    <t>2025-01-14 09:49:42+00:00</t>
  </si>
  <si>
    <t>time-stratum: late (temporal coverage); thread-size: medium (ensure short/medium/long threads); label-diversity: 'question' present</t>
  </si>
  <si>
    <t>Kanidm as provider?</t>
  </si>
  <si>
    <t>https://github.com/sigstore/cosign/issues/4076</t>
  </si>
  <si>
    <t>2025-02-21 15:16:37+00:00</t>
  </si>
  <si>
    <t>Wrong mediatype on attestation replace</t>
  </si>
  <si>
    <t>https://github.com/sigstore/cosign/issues/4098</t>
  </si>
  <si>
    <t>2025-03-04 12:43:56+00:00</t>
  </si>
  <si>
    <t>cosign doesn't correctly respect individual TSA certificate chains</t>
  </si>
  <si>
    <t>https://github.com/sigstore/cosign/issues/4204</t>
  </si>
  <si>
    <t>2025-05-14 21:41:14+00:00</t>
  </si>
  <si>
    <t>cosign tree support for OCI 1.1 Referrers</t>
  </si>
  <si>
    <t>sigstore/fulcio</t>
  </si>
  <si>
    <t>https://github.com/sigstore/fulcio/issues/238</t>
  </si>
  <si>
    <t>2021-11-10 23:51:00+00:00</t>
  </si>
  <si>
    <t>Malformed collection name: 'caPools/certificateAuthorities/certificates'</t>
  </si>
  <si>
    <t>https://github.com/sigstore/fulcio/issues/243</t>
  </si>
  <si>
    <t>2021-11-18 13:51:30+00:00</t>
  </si>
  <si>
    <t>Add support for GitLab tokens</t>
  </si>
  <si>
    <t>https://github.com/sigstore/fulcio/issues/489</t>
  </si>
  <si>
    <t>2022-03-28 22:46:59+00:00</t>
  </si>
  <si>
    <t>Fulcio as an intermediate CA</t>
  </si>
  <si>
    <t>https://github.com/sigstore/fulcio/issues/766</t>
  </si>
  <si>
    <t>2022-08-26 18:26:39+00:00</t>
  </si>
  <si>
    <t>enhancement, ga-blocker</t>
  </si>
  <si>
    <t>Fulcio 1.0</t>
  </si>
  <si>
    <t>https://github.com/sigstore/fulcio/issues/1087</t>
  </si>
  <si>
    <t>2023-03-29 18:29:27+00:00</t>
  </si>
  <si>
    <t>Add support for enterprise-unique GitHub Actions OIDC issuer URL</t>
  </si>
  <si>
    <t>https://github.com/sigstore/fulcio/issues/1132</t>
  </si>
  <si>
    <t>2023-04-23 20:26:28+00:00</t>
  </si>
  <si>
    <t>Proposal: Combine the individual OIDC extensions into a single extension</t>
  </si>
  <si>
    <t>https://github.com/sigstore/fulcio/issues/1178</t>
  </si>
  <si>
    <t>2023-05-21 08:38:01+00:00</t>
  </si>
  <si>
    <t>AWS KMS documentation Unclear</t>
  </si>
  <si>
    <t>https://github.com/sigstore/fulcio/issues/1235</t>
  </si>
  <si>
    <t>2023-06-19 16:28:29+00:00</t>
  </si>
  <si>
    <t>Support for CirleCI</t>
  </si>
  <si>
    <t>https://github.com/sigstore/fulcio/issues/1685</t>
  </si>
  <si>
    <t>2024-06-04 21:27:35+00:00</t>
  </si>
  <si>
    <t>Update to go-jose v4</t>
  </si>
  <si>
    <t>sigstore/rekor</t>
  </si>
  <si>
    <t>https://github.com/sigstore/rekor/issues/487</t>
  </si>
  <si>
    <t>2021-11-10 23:08:50+00:00</t>
  </si>
  <si>
    <t>Support UUID --&gt; shard ID parsing</t>
  </si>
  <si>
    <t>https://github.com/sigstore/rekor/issues/648</t>
  </si>
  <si>
    <t>2022-02-01 23:10:45+00:00</t>
  </si>
  <si>
    <t>Shard rekor once prior to GA</t>
  </si>
  <si>
    <t>https://github.com/sigstore/rekor/issues/872</t>
  </si>
  <si>
    <t>2022-06-15 21:49:05+00:00</t>
  </si>
  <si>
    <t>attestations for intoto log entries persisted without payloadHash are not being returned</t>
  </si>
  <si>
    <t>https://github.com/sigstore/rekor/issues/876</t>
  </si>
  <si>
    <t>2022-06-16 13:50:52+00:00</t>
  </si>
  <si>
    <t>Intoto Indexing Bug: cannot find entry by payloadHash</t>
  </si>
  <si>
    <t>https://github.com/sigstore/rekor/issues/929</t>
  </si>
  <si>
    <t>2022-07-18 04:31:11+00:00</t>
  </si>
  <si>
    <t>time-stratum: middle (temporal coverage); thread-size: short (ensure short/medium/long threads); label-diversity: 'question' present</t>
  </si>
  <si>
    <t>How can rekor prevent a record from a hacker?</t>
  </si>
  <si>
    <t>https://github.com/sigstore/rekor/issues/1026</t>
  </si>
  <si>
    <t>2022-09-06 15:46:23+00:00</t>
  </si>
  <si>
    <t>Add --file-ca (or something flag) for taking in secret from files like Fulcio does.</t>
  </si>
  <si>
    <t>https://github.com/sigstore/rekor/issues/1173</t>
  </si>
  <si>
    <t>2022-11-03 20:56:09+00:00</t>
  </si>
  <si>
    <t>Add public key method to EntryImpl</t>
  </si>
  <si>
    <t>https://github.com/sigstore/rekor/issues/1324</t>
  </si>
  <si>
    <t>2023-02-03 17:52:24+00:00</t>
  </si>
  <si>
    <t>Support other KMS keys besides GCP</t>
  </si>
  <si>
    <t>https://github.com/sigstore/rekor/issues/1721</t>
  </si>
  <si>
    <t>2023-09-29 01:10:38+00:00</t>
  </si>
  <si>
    <t>add info to readme file to point out other doc files.</t>
  </si>
  <si>
    <t>https://github.com/sigstore/rekor/issues/1812</t>
  </si>
  <si>
    <t>2023-11-06 21:13:07+00:00</t>
  </si>
  <si>
    <t>Investigate using custom JSON parser</t>
  </si>
  <si>
    <t>https://github.com/sigstore/rekor/issues/1899</t>
  </si>
  <si>
    <t>2023-12-11 21:38:34+00:00</t>
  </si>
  <si>
    <t>Manual rekor upload with cosign public key</t>
  </si>
  <si>
    <t>https://github.com/sigstore/rekor/issues/2062</t>
  </si>
  <si>
    <t>2024-03-28 23:46:16+00:00</t>
  </si>
  <si>
    <t>enhancement, rekor-v2</t>
  </si>
  <si>
    <t xml:space="preserve">Checkpoint spec compliance: Incorrect key ID for non-ECDSA keys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</si>
</sst>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charset val="1"/>
    </font>
    <font>
      <sz val="11"/>
      <color rgb="FF000000"/>
      <name val="Aptos Narrow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3" borderId="0" xfId="0" applyFill="1" applyAlignment="1">
      <alignment wrapText="1"/>
    </xf>
    <xf numFmtId="0" fontId="18" fillId="0" borderId="0" xfId="42" applyAlignment="1">
      <alignment wrapText="1"/>
    </xf>
    <xf numFmtId="0" fontId="19" fillId="0" borderId="0" xfId="0" applyFont="1" applyAlignment="1">
      <alignment wrapText="1"/>
    </xf>
    <xf numFmtId="0" fontId="19" fillId="33" borderId="0" xfId="0" applyFont="1" applyFill="1" applyAlignment="1">
      <alignment wrapText="1"/>
    </xf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Keyfactor/signserver-ce/issues/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A90B-4331-46F0-8F59-F7E7C8748476}">
  <dimension ref="A1:W181"/>
  <sheetViews>
    <sheetView tabSelected="1" topLeftCell="N7" workbookViewId="0">
      <selection activeCell="U10" sqref="U10"/>
    </sheetView>
  </sheetViews>
  <sheetFormatPr defaultRowHeight="15" customHeight="1"/>
  <cols>
    <col min="1" max="1" width="14.140625" customWidth="1"/>
    <col min="2" max="2" width="16.28515625" customWidth="1"/>
    <col min="3" max="3" width="14" customWidth="1"/>
    <col min="4" max="4" width="15.7109375" customWidth="1"/>
    <col min="5" max="5" width="16.28515625" customWidth="1"/>
    <col min="6" max="6" width="19.5703125" customWidth="1"/>
    <col min="8" max="8" width="7.85546875" customWidth="1"/>
    <col min="9" max="9" width="17.140625" customWidth="1"/>
    <col min="10" max="10" width="14.7109375" customWidth="1"/>
    <col min="11" max="11" width="13.140625" customWidth="1"/>
    <col min="12" max="12" width="21.28515625" customWidth="1"/>
    <col min="13" max="13" width="20.7109375" bestFit="1" customWidth="1"/>
    <col min="14" max="14" width="42.85546875" customWidth="1"/>
    <col min="15" max="15" width="18.85546875" customWidth="1"/>
    <col min="16" max="16" width="26.140625" customWidth="1"/>
    <col min="18" max="18" width="9.140625" customWidth="1"/>
    <col min="19" max="19" width="12.28515625" customWidth="1"/>
    <col min="20" max="20" width="30" customWidth="1"/>
    <col min="21" max="21" width="39.140625" customWidth="1"/>
    <col min="22" max="22" width="26.28515625" customWidth="1"/>
  </cols>
  <sheetData>
    <row r="1" spans="1:23" ht="7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 t="s">
        <v>16</v>
      </c>
      <c r="S1" s="1" t="s">
        <v>17</v>
      </c>
      <c r="T1" s="1" t="s">
        <v>18</v>
      </c>
      <c r="U1" s="7" t="s">
        <v>19</v>
      </c>
      <c r="V1" t="s">
        <v>20</v>
      </c>
      <c r="W1" t="s">
        <v>21</v>
      </c>
    </row>
    <row r="2" spans="1:23" ht="409.6">
      <c r="A2" s="1" t="s">
        <v>22</v>
      </c>
      <c r="B2" s="1">
        <v>33</v>
      </c>
      <c r="C2" s="1" t="s">
        <v>23</v>
      </c>
      <c r="D2" s="1" t="s">
        <v>24</v>
      </c>
      <c r="E2" s="1">
        <v>1</v>
      </c>
      <c r="F2" s="1">
        <v>1</v>
      </c>
      <c r="G2" s="1"/>
      <c r="H2" s="1"/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>
        <v>1</v>
      </c>
      <c r="P2">
        <v>0</v>
      </c>
      <c r="R2">
        <f>SUM(O2:O51)/50</f>
        <v>0.9</v>
      </c>
      <c r="S2">
        <f>SUM(P2:P51)/50</f>
        <v>0.88</v>
      </c>
      <c r="T2">
        <v>1</v>
      </c>
      <c r="U2" t="s">
        <v>31</v>
      </c>
      <c r="V2">
        <v>1</v>
      </c>
      <c r="W2" s="1" t="s">
        <v>32</v>
      </c>
    </row>
    <row r="3" spans="1:23" ht="130.5">
      <c r="A3" s="1" t="s">
        <v>22</v>
      </c>
      <c r="B3" s="1">
        <v>55</v>
      </c>
      <c r="C3" s="1" t="s">
        <v>33</v>
      </c>
      <c r="D3" s="1" t="s">
        <v>34</v>
      </c>
      <c r="E3" s="1">
        <v>6</v>
      </c>
      <c r="F3" s="1">
        <v>2</v>
      </c>
      <c r="G3" s="1"/>
      <c r="H3" s="1"/>
      <c r="I3" s="1" t="s">
        <v>25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  <c r="O3" s="1">
        <v>1</v>
      </c>
      <c r="P3">
        <v>0</v>
      </c>
      <c r="T3">
        <v>1</v>
      </c>
      <c r="U3" t="s">
        <v>31</v>
      </c>
      <c r="V3">
        <v>1</v>
      </c>
      <c r="W3">
        <f>SUM(V:V)/100</f>
        <v>0.7</v>
      </c>
    </row>
    <row r="4" spans="1:23" ht="130.5">
      <c r="A4" s="1" t="s">
        <v>22</v>
      </c>
      <c r="B4" s="1">
        <v>218</v>
      </c>
      <c r="C4" s="1" t="s">
        <v>40</v>
      </c>
      <c r="D4" s="1" t="s">
        <v>41</v>
      </c>
      <c r="E4" s="1">
        <v>3</v>
      </c>
      <c r="F4" s="1">
        <v>2</v>
      </c>
      <c r="G4" s="1"/>
      <c r="H4" s="1"/>
      <c r="I4" s="1" t="s">
        <v>25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">
        <v>1</v>
      </c>
      <c r="P4">
        <v>1</v>
      </c>
      <c r="T4">
        <v>1</v>
      </c>
      <c r="U4" t="s">
        <v>31</v>
      </c>
      <c r="V4">
        <v>1</v>
      </c>
    </row>
    <row r="5" spans="1:23" ht="130.5">
      <c r="A5" s="1" t="s">
        <v>22</v>
      </c>
      <c r="B5" s="1">
        <v>261</v>
      </c>
      <c r="C5" s="1" t="s">
        <v>47</v>
      </c>
      <c r="D5" s="1" t="s">
        <v>48</v>
      </c>
      <c r="E5" s="1">
        <v>1</v>
      </c>
      <c r="F5" s="1">
        <v>1</v>
      </c>
      <c r="G5" s="1"/>
      <c r="H5" s="1"/>
      <c r="I5" s="1" t="s">
        <v>49</v>
      </c>
      <c r="J5" s="1" t="s">
        <v>26</v>
      </c>
      <c r="K5" s="1" t="s">
        <v>50</v>
      </c>
      <c r="L5" s="1" t="s">
        <v>51</v>
      </c>
      <c r="M5" s="1" t="s">
        <v>52</v>
      </c>
      <c r="N5" s="1" t="s">
        <v>53</v>
      </c>
      <c r="O5" s="1">
        <v>1</v>
      </c>
      <c r="P5">
        <v>0</v>
      </c>
      <c r="T5">
        <v>1</v>
      </c>
      <c r="U5" t="s">
        <v>31</v>
      </c>
      <c r="V5">
        <v>1</v>
      </c>
    </row>
    <row r="6" spans="1:23" ht="174">
      <c r="A6" s="1" t="s">
        <v>22</v>
      </c>
      <c r="B6" s="1">
        <v>473</v>
      </c>
      <c r="C6" s="1" t="s">
        <v>54</v>
      </c>
      <c r="D6" s="1" t="s">
        <v>55</v>
      </c>
      <c r="E6" s="1">
        <v>8</v>
      </c>
      <c r="F6" s="1">
        <v>4</v>
      </c>
      <c r="G6" s="1" t="s">
        <v>56</v>
      </c>
      <c r="H6" s="1" t="s">
        <v>56</v>
      </c>
      <c r="I6" s="1" t="s">
        <v>49</v>
      </c>
      <c r="J6" s="1" t="s">
        <v>35</v>
      </c>
      <c r="K6" s="1" t="s">
        <v>57</v>
      </c>
      <c r="L6" s="1" t="s">
        <v>58</v>
      </c>
      <c r="M6" s="1" t="s">
        <v>59</v>
      </c>
      <c r="N6" s="1" t="s">
        <v>60</v>
      </c>
      <c r="O6" s="1">
        <v>1</v>
      </c>
      <c r="P6">
        <v>1</v>
      </c>
      <c r="T6" t="s">
        <v>61</v>
      </c>
      <c r="U6" t="s">
        <v>31</v>
      </c>
      <c r="V6">
        <v>0</v>
      </c>
    </row>
    <row r="7" spans="1:23" ht="174">
      <c r="A7" s="1" t="s">
        <v>22</v>
      </c>
      <c r="B7" s="1">
        <v>520</v>
      </c>
      <c r="C7" s="1" t="s">
        <v>62</v>
      </c>
      <c r="D7" s="1" t="s">
        <v>63</v>
      </c>
      <c r="E7" s="1">
        <v>3</v>
      </c>
      <c r="F7" s="1">
        <v>2</v>
      </c>
      <c r="G7" s="1" t="s">
        <v>56</v>
      </c>
      <c r="H7" s="1" t="s">
        <v>56</v>
      </c>
      <c r="I7" s="1" t="s">
        <v>49</v>
      </c>
      <c r="J7" s="1" t="s">
        <v>42</v>
      </c>
      <c r="K7" s="1" t="s">
        <v>64</v>
      </c>
      <c r="L7" s="1" t="s">
        <v>65</v>
      </c>
      <c r="M7" s="1" t="s">
        <v>66</v>
      </c>
      <c r="N7" s="1" t="s">
        <v>67</v>
      </c>
      <c r="O7" s="1">
        <v>1</v>
      </c>
      <c r="P7">
        <v>1</v>
      </c>
      <c r="T7">
        <v>1</v>
      </c>
      <c r="U7" t="s">
        <v>31</v>
      </c>
      <c r="V7">
        <v>1</v>
      </c>
    </row>
    <row r="8" spans="1:23" ht="115.5">
      <c r="A8" s="1" t="s">
        <v>22</v>
      </c>
      <c r="B8" s="1">
        <v>568</v>
      </c>
      <c r="C8" s="1" t="s">
        <v>68</v>
      </c>
      <c r="D8" s="1" t="s">
        <v>69</v>
      </c>
      <c r="E8" s="1">
        <v>0</v>
      </c>
      <c r="F8" s="1">
        <v>0</v>
      </c>
      <c r="G8" s="1"/>
      <c r="H8" s="1"/>
      <c r="I8" s="1" t="s">
        <v>70</v>
      </c>
      <c r="J8" s="1" t="s">
        <v>26</v>
      </c>
      <c r="K8" s="1" t="s">
        <v>71</v>
      </c>
      <c r="L8" s="1" t="s">
        <v>72</v>
      </c>
      <c r="M8" s="1" t="s">
        <v>45</v>
      </c>
      <c r="N8" s="1" t="s">
        <v>73</v>
      </c>
      <c r="O8" s="1">
        <v>1</v>
      </c>
      <c r="P8">
        <v>1</v>
      </c>
      <c r="T8">
        <v>1</v>
      </c>
      <c r="U8" t="s">
        <v>74</v>
      </c>
      <c r="V8">
        <v>0</v>
      </c>
    </row>
    <row r="9" spans="1:23" ht="115.5">
      <c r="A9" s="1" t="s">
        <v>22</v>
      </c>
      <c r="B9" s="1">
        <v>577</v>
      </c>
      <c r="C9" s="1" t="s">
        <v>75</v>
      </c>
      <c r="D9" s="1" t="s">
        <v>76</v>
      </c>
      <c r="E9" s="1">
        <v>3</v>
      </c>
      <c r="F9" s="1">
        <v>2</v>
      </c>
      <c r="G9" s="1"/>
      <c r="H9" s="1"/>
      <c r="I9" s="1" t="s">
        <v>70</v>
      </c>
      <c r="J9" s="1" t="s">
        <v>42</v>
      </c>
      <c r="K9" s="1" t="s">
        <v>77</v>
      </c>
      <c r="L9" s="1" t="s">
        <v>78</v>
      </c>
      <c r="M9" s="1" t="s">
        <v>79</v>
      </c>
      <c r="N9" s="1" t="s">
        <v>80</v>
      </c>
      <c r="O9" s="1">
        <v>1</v>
      </c>
      <c r="P9">
        <v>1</v>
      </c>
      <c r="T9">
        <v>1</v>
      </c>
      <c r="U9" t="s">
        <v>81</v>
      </c>
      <c r="V9">
        <v>1</v>
      </c>
    </row>
    <row r="10" spans="1:23" ht="159">
      <c r="A10" s="1" t="s">
        <v>22</v>
      </c>
      <c r="B10" s="1">
        <v>824</v>
      </c>
      <c r="C10" s="1" t="s">
        <v>82</v>
      </c>
      <c r="D10" s="1" t="s">
        <v>83</v>
      </c>
      <c r="E10" s="1">
        <v>6</v>
      </c>
      <c r="F10" s="1">
        <v>3</v>
      </c>
      <c r="G10" s="1" t="s">
        <v>56</v>
      </c>
      <c r="H10" s="1" t="s">
        <v>56</v>
      </c>
      <c r="I10" s="1" t="s">
        <v>70</v>
      </c>
      <c r="J10" s="1" t="s">
        <v>35</v>
      </c>
      <c r="K10" s="1" t="s">
        <v>84</v>
      </c>
      <c r="L10" s="1" t="s">
        <v>85</v>
      </c>
      <c r="M10" s="1" t="s">
        <v>86</v>
      </c>
      <c r="N10" s="1" t="s">
        <v>87</v>
      </c>
      <c r="O10" s="1">
        <v>1</v>
      </c>
      <c r="P10">
        <v>1</v>
      </c>
      <c r="T10">
        <v>1</v>
      </c>
      <c r="U10" t="s">
        <v>88</v>
      </c>
      <c r="V10">
        <v>1</v>
      </c>
    </row>
    <row r="11" spans="1:23" ht="130.5">
      <c r="A11" s="1" t="s">
        <v>89</v>
      </c>
      <c r="B11" s="1">
        <v>5</v>
      </c>
      <c r="C11" s="4" t="s">
        <v>90</v>
      </c>
      <c r="D11" s="1" t="s">
        <v>91</v>
      </c>
      <c r="E11" s="1">
        <v>3</v>
      </c>
      <c r="F11" s="1">
        <v>2</v>
      </c>
      <c r="G11" s="1"/>
      <c r="H11" s="1"/>
      <c r="I11" s="1" t="s">
        <v>25</v>
      </c>
      <c r="J11" s="1" t="s">
        <v>35</v>
      </c>
      <c r="K11" s="1" t="s">
        <v>36</v>
      </c>
      <c r="L11" s="1" t="s">
        <v>92</v>
      </c>
      <c r="M11" s="1" t="s">
        <v>93</v>
      </c>
      <c r="N11" s="1" t="s">
        <v>94</v>
      </c>
      <c r="O11" s="1">
        <v>1</v>
      </c>
      <c r="P11">
        <v>0</v>
      </c>
      <c r="T11">
        <v>1</v>
      </c>
      <c r="U11" t="s">
        <v>88</v>
      </c>
      <c r="V11">
        <v>1</v>
      </c>
    </row>
    <row r="12" spans="1:23" ht="188.25">
      <c r="A12" s="1" t="s">
        <v>95</v>
      </c>
      <c r="B12" s="1">
        <v>13243</v>
      </c>
      <c r="C12" s="1" t="s">
        <v>96</v>
      </c>
      <c r="D12" s="1" t="s">
        <v>97</v>
      </c>
      <c r="E12" s="1">
        <v>7</v>
      </c>
      <c r="F12" s="1">
        <v>4</v>
      </c>
      <c r="G12" s="1" t="s">
        <v>98</v>
      </c>
      <c r="H12" s="1" t="s">
        <v>99</v>
      </c>
      <c r="I12" s="1" t="s">
        <v>25</v>
      </c>
      <c r="J12" s="1" t="s">
        <v>35</v>
      </c>
      <c r="K12" s="1" t="s">
        <v>100</v>
      </c>
      <c r="L12" s="1" t="s">
        <v>101</v>
      </c>
      <c r="M12" s="1" t="s">
        <v>102</v>
      </c>
      <c r="N12" s="1" t="s">
        <v>103</v>
      </c>
      <c r="O12" s="1">
        <v>1</v>
      </c>
      <c r="P12">
        <v>1</v>
      </c>
      <c r="T12">
        <v>1</v>
      </c>
      <c r="U12" t="s">
        <v>31</v>
      </c>
      <c r="V12">
        <v>0</v>
      </c>
    </row>
    <row r="13" spans="1:23" ht="188.25">
      <c r="A13" s="1" t="s">
        <v>95</v>
      </c>
      <c r="B13" s="1">
        <v>13246</v>
      </c>
      <c r="C13" s="1" t="s">
        <v>104</v>
      </c>
      <c r="D13" s="1" t="s">
        <v>105</v>
      </c>
      <c r="E13" s="1">
        <v>0</v>
      </c>
      <c r="F13" s="1">
        <v>0</v>
      </c>
      <c r="G13" s="1" t="s">
        <v>106</v>
      </c>
      <c r="H13" s="1" t="s">
        <v>107</v>
      </c>
      <c r="I13" s="1" t="s">
        <v>25</v>
      </c>
      <c r="J13" s="1" t="s">
        <v>26</v>
      </c>
      <c r="K13" s="1" t="s">
        <v>108</v>
      </c>
      <c r="L13" s="1" t="s">
        <v>109</v>
      </c>
      <c r="M13" s="1" t="s">
        <v>110</v>
      </c>
      <c r="N13" s="1" t="s">
        <v>111</v>
      </c>
      <c r="O13" s="1">
        <v>1</v>
      </c>
      <c r="P13">
        <v>1</v>
      </c>
      <c r="T13">
        <v>1</v>
      </c>
      <c r="U13" t="s">
        <v>88</v>
      </c>
      <c r="V13">
        <v>1</v>
      </c>
    </row>
    <row r="14" spans="1:23" s="2" customFormat="1" ht="188.25">
      <c r="A14" s="3" t="s">
        <v>95</v>
      </c>
      <c r="B14" s="3">
        <v>13304</v>
      </c>
      <c r="C14" s="3" t="s">
        <v>112</v>
      </c>
      <c r="D14" s="3" t="s">
        <v>113</v>
      </c>
      <c r="E14" s="3">
        <v>2</v>
      </c>
      <c r="F14" s="3">
        <v>2</v>
      </c>
      <c r="G14" s="3" t="s">
        <v>114</v>
      </c>
      <c r="H14" s="3" t="s">
        <v>114</v>
      </c>
      <c r="I14" s="3" t="s">
        <v>25</v>
      </c>
      <c r="J14" s="3" t="s">
        <v>42</v>
      </c>
      <c r="K14" s="3" t="s">
        <v>115</v>
      </c>
      <c r="L14" s="3" t="s">
        <v>116</v>
      </c>
      <c r="M14" s="3" t="s">
        <v>117</v>
      </c>
      <c r="N14" s="3" t="s">
        <v>118</v>
      </c>
      <c r="O14" s="3">
        <v>1</v>
      </c>
      <c r="P14" s="2">
        <v>1</v>
      </c>
      <c r="T14" s="2">
        <v>1</v>
      </c>
      <c r="U14" s="2" t="s">
        <v>88</v>
      </c>
      <c r="V14" s="2">
        <v>1</v>
      </c>
      <c r="W14"/>
    </row>
    <row r="15" spans="1:23" ht="188.25">
      <c r="A15" s="1" t="s">
        <v>95</v>
      </c>
      <c r="B15" s="1">
        <v>13305</v>
      </c>
      <c r="C15" s="1" t="s">
        <v>119</v>
      </c>
      <c r="D15" s="1" t="s">
        <v>120</v>
      </c>
      <c r="E15" s="1">
        <v>5</v>
      </c>
      <c r="F15" s="1">
        <v>2</v>
      </c>
      <c r="G15" s="1" t="s">
        <v>121</v>
      </c>
      <c r="H15" s="1" t="s">
        <v>121</v>
      </c>
      <c r="I15" s="1" t="s">
        <v>25</v>
      </c>
      <c r="J15" s="1" t="s">
        <v>35</v>
      </c>
      <c r="K15" s="1" t="s">
        <v>122</v>
      </c>
      <c r="L15" s="1" t="s">
        <v>123</v>
      </c>
      <c r="M15" s="1" t="s">
        <v>124</v>
      </c>
      <c r="N15" s="5" t="s">
        <v>125</v>
      </c>
      <c r="O15" s="1">
        <v>1</v>
      </c>
      <c r="P15">
        <v>1</v>
      </c>
      <c r="T15">
        <v>1</v>
      </c>
      <c r="U15" t="s">
        <v>88</v>
      </c>
      <c r="V15">
        <v>1</v>
      </c>
      <c r="W15" s="2"/>
    </row>
    <row r="16" spans="1:23" ht="188.25">
      <c r="A16" s="1" t="s">
        <v>95</v>
      </c>
      <c r="B16" s="1">
        <v>13319</v>
      </c>
      <c r="C16" s="1" t="s">
        <v>126</v>
      </c>
      <c r="D16" s="1" t="s">
        <v>127</v>
      </c>
      <c r="E16" s="1">
        <v>1</v>
      </c>
      <c r="F16" s="1">
        <v>1</v>
      </c>
      <c r="G16" s="1" t="s">
        <v>128</v>
      </c>
      <c r="H16" s="1" t="s">
        <v>128</v>
      </c>
      <c r="I16" s="1" t="s">
        <v>25</v>
      </c>
      <c r="J16" s="1" t="s">
        <v>26</v>
      </c>
      <c r="K16" s="1" t="s">
        <v>129</v>
      </c>
      <c r="L16" s="1" t="s">
        <v>130</v>
      </c>
      <c r="M16" s="1" t="s">
        <v>131</v>
      </c>
      <c r="N16" s="1" t="s">
        <v>132</v>
      </c>
      <c r="O16" s="1">
        <v>0</v>
      </c>
      <c r="P16">
        <v>1</v>
      </c>
      <c r="T16">
        <v>1</v>
      </c>
      <c r="U16" t="s">
        <v>88</v>
      </c>
      <c r="V16">
        <v>1</v>
      </c>
    </row>
    <row r="17" spans="1:23" ht="130.5">
      <c r="A17" s="1" t="s">
        <v>95</v>
      </c>
      <c r="B17" s="1">
        <v>13346</v>
      </c>
      <c r="C17" s="1" t="s">
        <v>133</v>
      </c>
      <c r="D17" s="1" t="s">
        <v>134</v>
      </c>
      <c r="E17" s="1">
        <v>1</v>
      </c>
      <c r="F17" s="1">
        <v>1</v>
      </c>
      <c r="G17" s="1"/>
      <c r="H17" s="1"/>
      <c r="I17" s="1" t="s">
        <v>25</v>
      </c>
      <c r="J17" s="1" t="s">
        <v>26</v>
      </c>
      <c r="K17" s="1" t="s">
        <v>27</v>
      </c>
      <c r="L17" s="1" t="s">
        <v>135</v>
      </c>
      <c r="M17" s="1" t="s">
        <v>136</v>
      </c>
      <c r="N17" s="1" t="s">
        <v>137</v>
      </c>
      <c r="O17" s="1">
        <v>1</v>
      </c>
      <c r="P17">
        <v>1</v>
      </c>
      <c r="T17">
        <v>1</v>
      </c>
      <c r="U17" t="s">
        <v>88</v>
      </c>
      <c r="V17">
        <v>1</v>
      </c>
    </row>
    <row r="18" spans="1:23" ht="188.25">
      <c r="A18" s="1" t="s">
        <v>95</v>
      </c>
      <c r="B18" s="1">
        <v>13358</v>
      </c>
      <c r="C18" s="1" t="s">
        <v>138</v>
      </c>
      <c r="D18" s="1" t="s">
        <v>139</v>
      </c>
      <c r="E18" s="1">
        <v>2</v>
      </c>
      <c r="F18" s="1">
        <v>2</v>
      </c>
      <c r="G18" s="1" t="s">
        <v>140</v>
      </c>
      <c r="H18" s="1" t="s">
        <v>141</v>
      </c>
      <c r="I18" s="1" t="s">
        <v>25</v>
      </c>
      <c r="J18" s="1" t="s">
        <v>42</v>
      </c>
      <c r="K18" s="1" t="s">
        <v>142</v>
      </c>
      <c r="L18" s="1" t="s">
        <v>143</v>
      </c>
      <c r="M18" s="1" t="s">
        <v>144</v>
      </c>
      <c r="N18" s="1" t="s">
        <v>145</v>
      </c>
      <c r="O18" s="1">
        <v>0</v>
      </c>
      <c r="P18">
        <v>1</v>
      </c>
      <c r="T18">
        <v>1</v>
      </c>
      <c r="U18" t="s">
        <v>88</v>
      </c>
      <c r="V18">
        <v>1</v>
      </c>
    </row>
    <row r="19" spans="1:23" s="2" customFormat="1" ht="188.25">
      <c r="A19" s="3" t="s">
        <v>95</v>
      </c>
      <c r="B19" s="3">
        <v>13364</v>
      </c>
      <c r="C19" s="3" t="s">
        <v>146</v>
      </c>
      <c r="D19" s="3" t="s">
        <v>147</v>
      </c>
      <c r="E19" s="3">
        <v>2</v>
      </c>
      <c r="F19" s="3">
        <v>2</v>
      </c>
      <c r="G19" s="3" t="s">
        <v>148</v>
      </c>
      <c r="H19" s="3" t="s">
        <v>99</v>
      </c>
      <c r="I19" s="3" t="s">
        <v>25</v>
      </c>
      <c r="J19" s="3" t="s">
        <v>42</v>
      </c>
      <c r="K19" s="3" t="s">
        <v>149</v>
      </c>
      <c r="L19" s="3" t="s">
        <v>150</v>
      </c>
      <c r="M19" s="3" t="s">
        <v>151</v>
      </c>
      <c r="N19" s="6" t="s">
        <v>152</v>
      </c>
      <c r="O19" s="3">
        <v>1</v>
      </c>
      <c r="P19" s="2">
        <v>1</v>
      </c>
      <c r="T19" s="2">
        <v>1</v>
      </c>
      <c r="U19" s="2" t="s">
        <v>31</v>
      </c>
      <c r="V19" s="2">
        <v>1</v>
      </c>
      <c r="W19"/>
    </row>
    <row r="20" spans="1:23" ht="188.25">
      <c r="A20" s="1" t="s">
        <v>95</v>
      </c>
      <c r="B20" s="1">
        <v>13388</v>
      </c>
      <c r="C20" s="1" t="s">
        <v>153</v>
      </c>
      <c r="D20" s="1" t="s">
        <v>154</v>
      </c>
      <c r="E20" s="1">
        <v>4</v>
      </c>
      <c r="F20" s="1">
        <v>4</v>
      </c>
      <c r="G20" s="1" t="s">
        <v>155</v>
      </c>
      <c r="H20" s="1" t="s">
        <v>107</v>
      </c>
      <c r="I20" s="1" t="s">
        <v>25</v>
      </c>
      <c r="J20" s="1" t="s">
        <v>35</v>
      </c>
      <c r="K20" s="1" t="s">
        <v>156</v>
      </c>
      <c r="L20" s="1" t="s">
        <v>157</v>
      </c>
      <c r="M20" s="1" t="s">
        <v>158</v>
      </c>
      <c r="N20" s="1" t="s">
        <v>159</v>
      </c>
      <c r="O20" s="1">
        <v>1</v>
      </c>
      <c r="P20">
        <v>1</v>
      </c>
      <c r="T20">
        <v>1</v>
      </c>
      <c r="U20" t="s">
        <v>88</v>
      </c>
      <c r="V20">
        <v>0</v>
      </c>
      <c r="W20" s="2"/>
    </row>
    <row r="21" spans="1:23" ht="188.25">
      <c r="A21" s="1" t="s">
        <v>95</v>
      </c>
      <c r="B21" s="1">
        <v>14225</v>
      </c>
      <c r="C21" s="1" t="s">
        <v>160</v>
      </c>
      <c r="D21" s="1" t="s">
        <v>161</v>
      </c>
      <c r="E21" s="1">
        <v>7</v>
      </c>
      <c r="F21" s="1">
        <v>4</v>
      </c>
      <c r="G21" s="1" t="s">
        <v>162</v>
      </c>
      <c r="H21" s="1" t="s">
        <v>107</v>
      </c>
      <c r="I21" s="1" t="s">
        <v>25</v>
      </c>
      <c r="J21" s="1" t="s">
        <v>35</v>
      </c>
      <c r="K21" s="1" t="s">
        <v>156</v>
      </c>
      <c r="L21" s="1" t="s">
        <v>163</v>
      </c>
      <c r="M21" s="1" t="s">
        <v>164</v>
      </c>
      <c r="N21" s="1" t="s">
        <v>165</v>
      </c>
      <c r="O21" s="1">
        <v>1</v>
      </c>
      <c r="P21">
        <v>1</v>
      </c>
      <c r="T21">
        <v>1</v>
      </c>
      <c r="U21" t="s">
        <v>88</v>
      </c>
      <c r="V21">
        <v>1</v>
      </c>
    </row>
    <row r="22" spans="1:23" ht="188.25">
      <c r="A22" s="1" t="s">
        <v>95</v>
      </c>
      <c r="B22" s="1">
        <v>14275</v>
      </c>
      <c r="C22" s="1" t="s">
        <v>166</v>
      </c>
      <c r="D22" s="1" t="s">
        <v>167</v>
      </c>
      <c r="E22" s="1">
        <v>2</v>
      </c>
      <c r="F22" s="1">
        <v>2</v>
      </c>
      <c r="G22" s="1" t="s">
        <v>168</v>
      </c>
      <c r="H22" s="1" t="s">
        <v>168</v>
      </c>
      <c r="I22" s="1" t="s">
        <v>25</v>
      </c>
      <c r="J22" s="1" t="s">
        <v>42</v>
      </c>
      <c r="K22" s="1" t="s">
        <v>169</v>
      </c>
      <c r="L22" s="1" t="s">
        <v>170</v>
      </c>
      <c r="M22" s="1" t="s">
        <v>151</v>
      </c>
      <c r="N22" s="1" t="s">
        <v>171</v>
      </c>
      <c r="O22" s="1">
        <v>1</v>
      </c>
      <c r="P22">
        <v>1</v>
      </c>
      <c r="T22">
        <v>1</v>
      </c>
      <c r="U22" t="s">
        <v>88</v>
      </c>
      <c r="V22">
        <v>1</v>
      </c>
    </row>
    <row r="23" spans="1:23" ht="174">
      <c r="A23" s="1" t="s">
        <v>95</v>
      </c>
      <c r="B23" s="1">
        <v>14394</v>
      </c>
      <c r="C23" s="1" t="s">
        <v>172</v>
      </c>
      <c r="D23" s="1" t="s">
        <v>173</v>
      </c>
      <c r="E23" s="1">
        <v>0</v>
      </c>
      <c r="F23" s="1">
        <v>0</v>
      </c>
      <c r="G23" s="1" t="s">
        <v>174</v>
      </c>
      <c r="H23" s="1" t="s">
        <v>56</v>
      </c>
      <c r="I23" s="1" t="s">
        <v>25</v>
      </c>
      <c r="J23" s="1" t="s">
        <v>26</v>
      </c>
      <c r="K23" s="1" t="s">
        <v>175</v>
      </c>
      <c r="L23" s="1" t="s">
        <v>176</v>
      </c>
      <c r="M23" s="1" t="s">
        <v>144</v>
      </c>
      <c r="N23" s="1" t="s">
        <v>177</v>
      </c>
      <c r="O23" s="1">
        <v>1</v>
      </c>
      <c r="P23">
        <v>0</v>
      </c>
      <c r="T23">
        <v>0</v>
      </c>
      <c r="U23" t="s">
        <v>178</v>
      </c>
      <c r="V23">
        <v>0</v>
      </c>
    </row>
    <row r="24" spans="1:23" ht="174">
      <c r="A24" s="1" t="s">
        <v>95</v>
      </c>
      <c r="B24" s="1">
        <v>15196</v>
      </c>
      <c r="C24" s="1" t="s">
        <v>179</v>
      </c>
      <c r="D24" s="1" t="s">
        <v>180</v>
      </c>
      <c r="E24" s="1">
        <v>1</v>
      </c>
      <c r="F24" s="1">
        <v>1</v>
      </c>
      <c r="G24" s="1" t="s">
        <v>181</v>
      </c>
      <c r="H24" s="1" t="s">
        <v>56</v>
      </c>
      <c r="I24" s="1" t="s">
        <v>25</v>
      </c>
      <c r="J24" s="1" t="s">
        <v>26</v>
      </c>
      <c r="K24" s="1" t="s">
        <v>175</v>
      </c>
      <c r="L24" s="1" t="s">
        <v>182</v>
      </c>
      <c r="M24" s="1" t="s">
        <v>183</v>
      </c>
      <c r="N24" s="1" t="s">
        <v>184</v>
      </c>
      <c r="O24" s="1">
        <v>1</v>
      </c>
      <c r="P24">
        <v>1</v>
      </c>
      <c r="T24">
        <v>1</v>
      </c>
      <c r="U24" t="s">
        <v>88</v>
      </c>
      <c r="V24">
        <v>1</v>
      </c>
    </row>
    <row r="25" spans="1:23" ht="174">
      <c r="A25" s="1" t="s">
        <v>95</v>
      </c>
      <c r="B25" s="1">
        <v>15210</v>
      </c>
      <c r="C25" s="1" t="s">
        <v>185</v>
      </c>
      <c r="D25" s="1" t="s">
        <v>186</v>
      </c>
      <c r="E25" s="1">
        <v>3</v>
      </c>
      <c r="F25" s="1">
        <v>2</v>
      </c>
      <c r="G25" s="1" t="s">
        <v>56</v>
      </c>
      <c r="H25" s="1" t="s">
        <v>56</v>
      </c>
      <c r="I25" s="1" t="s">
        <v>25</v>
      </c>
      <c r="J25" s="1" t="s">
        <v>42</v>
      </c>
      <c r="K25" s="1" t="s">
        <v>187</v>
      </c>
      <c r="L25" s="1" t="s">
        <v>188</v>
      </c>
      <c r="M25" s="1" t="s">
        <v>189</v>
      </c>
      <c r="N25" s="1" t="s">
        <v>190</v>
      </c>
      <c r="O25" s="1">
        <v>1</v>
      </c>
      <c r="P25">
        <v>1</v>
      </c>
      <c r="T25">
        <v>1</v>
      </c>
      <c r="U25" t="s">
        <v>88</v>
      </c>
      <c r="V25">
        <v>0</v>
      </c>
    </row>
    <row r="26" spans="1:23" ht="174">
      <c r="A26" s="1" t="s">
        <v>95</v>
      </c>
      <c r="B26" s="1">
        <v>15252</v>
      </c>
      <c r="C26" s="1" t="s">
        <v>191</v>
      </c>
      <c r="D26" s="1" t="s">
        <v>192</v>
      </c>
      <c r="E26" s="1">
        <v>1</v>
      </c>
      <c r="F26" s="1">
        <v>1</v>
      </c>
      <c r="G26" s="1" t="s">
        <v>193</v>
      </c>
      <c r="H26" s="1" t="s">
        <v>56</v>
      </c>
      <c r="I26" s="1" t="s">
        <v>25</v>
      </c>
      <c r="J26" s="1" t="s">
        <v>26</v>
      </c>
      <c r="K26" s="1" t="s">
        <v>175</v>
      </c>
      <c r="L26" s="1" t="s">
        <v>194</v>
      </c>
      <c r="M26" s="1" t="s">
        <v>195</v>
      </c>
      <c r="N26" s="1" t="s">
        <v>196</v>
      </c>
      <c r="O26" s="1">
        <v>1</v>
      </c>
      <c r="P26">
        <v>1</v>
      </c>
      <c r="T26">
        <v>1</v>
      </c>
      <c r="U26" t="s">
        <v>88</v>
      </c>
      <c r="V26">
        <v>1</v>
      </c>
    </row>
    <row r="27" spans="1:23" ht="201.75">
      <c r="A27" s="1" t="s">
        <v>95</v>
      </c>
      <c r="B27" s="1">
        <v>15641</v>
      </c>
      <c r="C27" s="1" t="s">
        <v>197</v>
      </c>
      <c r="D27" s="1" t="s">
        <v>198</v>
      </c>
      <c r="E27" s="1">
        <v>2</v>
      </c>
      <c r="F27" s="1">
        <v>2</v>
      </c>
      <c r="G27" s="1" t="s">
        <v>199</v>
      </c>
      <c r="H27" s="1" t="s">
        <v>199</v>
      </c>
      <c r="I27" s="1" t="s">
        <v>25</v>
      </c>
      <c r="J27" s="1" t="s">
        <v>42</v>
      </c>
      <c r="K27" s="1" t="s">
        <v>200</v>
      </c>
      <c r="L27" s="1" t="s">
        <v>201</v>
      </c>
      <c r="M27" s="1" t="s">
        <v>202</v>
      </c>
      <c r="N27" s="1" t="s">
        <v>203</v>
      </c>
      <c r="O27" s="1">
        <v>1</v>
      </c>
      <c r="P27">
        <v>1</v>
      </c>
      <c r="T27">
        <v>1</v>
      </c>
      <c r="U27" t="s">
        <v>88</v>
      </c>
      <c r="V27">
        <v>1</v>
      </c>
    </row>
    <row r="28" spans="1:23" ht="130.5">
      <c r="A28" s="1" t="s">
        <v>95</v>
      </c>
      <c r="B28" s="1">
        <v>16151</v>
      </c>
      <c r="C28" s="1" t="s">
        <v>204</v>
      </c>
      <c r="D28" s="1" t="s">
        <v>205</v>
      </c>
      <c r="E28" s="1">
        <v>5</v>
      </c>
      <c r="F28" s="1">
        <v>5</v>
      </c>
      <c r="G28" s="1"/>
      <c r="H28" s="1"/>
      <c r="I28" s="1" t="s">
        <v>25</v>
      </c>
      <c r="J28" s="1" t="s">
        <v>35</v>
      </c>
      <c r="K28" s="1" t="s">
        <v>36</v>
      </c>
      <c r="L28" s="1" t="s">
        <v>206</v>
      </c>
      <c r="M28" s="1" t="s">
        <v>151</v>
      </c>
      <c r="N28" s="1" t="s">
        <v>207</v>
      </c>
      <c r="O28" s="1">
        <v>1</v>
      </c>
      <c r="P28">
        <v>0</v>
      </c>
      <c r="T28">
        <v>0</v>
      </c>
      <c r="U28" t="s">
        <v>208</v>
      </c>
      <c r="V28">
        <v>0</v>
      </c>
    </row>
    <row r="29" spans="1:23" ht="188.25">
      <c r="A29" s="1" t="s">
        <v>95</v>
      </c>
      <c r="B29" s="1">
        <v>16158</v>
      </c>
      <c r="C29" s="1" t="s">
        <v>209</v>
      </c>
      <c r="D29" s="1" t="s">
        <v>210</v>
      </c>
      <c r="E29" s="1">
        <v>2</v>
      </c>
      <c r="F29" s="1">
        <v>2</v>
      </c>
      <c r="G29" s="1" t="s">
        <v>211</v>
      </c>
      <c r="H29" s="1" t="s">
        <v>168</v>
      </c>
      <c r="I29" s="1" t="s">
        <v>25</v>
      </c>
      <c r="J29" s="1" t="s">
        <v>42</v>
      </c>
      <c r="K29" s="1" t="s">
        <v>169</v>
      </c>
      <c r="L29" s="1" t="s">
        <v>212</v>
      </c>
      <c r="M29" s="1" t="s">
        <v>124</v>
      </c>
      <c r="N29" s="1" t="s">
        <v>213</v>
      </c>
      <c r="O29" s="1">
        <v>1</v>
      </c>
      <c r="P29">
        <v>1</v>
      </c>
      <c r="T29">
        <v>1</v>
      </c>
      <c r="U29" t="s">
        <v>88</v>
      </c>
      <c r="V29">
        <v>1</v>
      </c>
    </row>
    <row r="30" spans="1:23" ht="188.25">
      <c r="A30" s="1" t="s">
        <v>95</v>
      </c>
      <c r="B30" s="1">
        <v>16282</v>
      </c>
      <c r="C30" s="1" t="s">
        <v>214</v>
      </c>
      <c r="D30" s="1" t="s">
        <v>215</v>
      </c>
      <c r="E30" s="1">
        <v>1</v>
      </c>
      <c r="F30" s="1">
        <v>1</v>
      </c>
      <c r="G30" s="1" t="s">
        <v>216</v>
      </c>
      <c r="H30" s="1" t="s">
        <v>217</v>
      </c>
      <c r="I30" s="1" t="s">
        <v>25</v>
      </c>
      <c r="J30" s="1" t="s">
        <v>26</v>
      </c>
      <c r="K30" s="1" t="s">
        <v>218</v>
      </c>
      <c r="L30" s="1" t="s">
        <v>219</v>
      </c>
      <c r="M30" s="1" t="s">
        <v>151</v>
      </c>
      <c r="N30" s="1" t="s">
        <v>220</v>
      </c>
      <c r="O30" s="1">
        <v>1</v>
      </c>
      <c r="P30">
        <v>1</v>
      </c>
      <c r="T30">
        <v>1</v>
      </c>
      <c r="U30" t="s">
        <v>88</v>
      </c>
      <c r="V30">
        <v>0</v>
      </c>
    </row>
    <row r="31" spans="1:23" ht="188.25">
      <c r="A31" s="1" t="s">
        <v>95</v>
      </c>
      <c r="B31" s="1">
        <v>16367</v>
      </c>
      <c r="C31" s="1" t="s">
        <v>221</v>
      </c>
      <c r="D31" s="1" t="s">
        <v>222</v>
      </c>
      <c r="E31" s="1">
        <v>2</v>
      </c>
      <c r="F31" s="1">
        <v>2</v>
      </c>
      <c r="G31" s="1" t="s">
        <v>98</v>
      </c>
      <c r="H31" s="1" t="s">
        <v>99</v>
      </c>
      <c r="I31" s="1" t="s">
        <v>25</v>
      </c>
      <c r="J31" s="1" t="s">
        <v>42</v>
      </c>
      <c r="K31" s="1" t="s">
        <v>149</v>
      </c>
      <c r="L31" s="1" t="s">
        <v>223</v>
      </c>
      <c r="M31" s="1" t="s">
        <v>151</v>
      </c>
      <c r="N31" s="1" t="s">
        <v>224</v>
      </c>
      <c r="O31" s="1">
        <v>1</v>
      </c>
      <c r="P31">
        <v>1</v>
      </c>
      <c r="T31">
        <v>1</v>
      </c>
      <c r="U31" t="s">
        <v>88</v>
      </c>
      <c r="V31">
        <v>0</v>
      </c>
    </row>
    <row r="32" spans="1:23" ht="188.25">
      <c r="A32" s="1" t="s">
        <v>95</v>
      </c>
      <c r="B32" s="1">
        <v>16424</v>
      </c>
      <c r="C32" s="1" t="s">
        <v>225</v>
      </c>
      <c r="D32" s="1" t="s">
        <v>226</v>
      </c>
      <c r="E32" s="1">
        <v>7</v>
      </c>
      <c r="F32" s="1">
        <v>4</v>
      </c>
      <c r="G32" s="1" t="s">
        <v>168</v>
      </c>
      <c r="H32" s="1" t="s">
        <v>168</v>
      </c>
      <c r="I32" s="1" t="s">
        <v>25</v>
      </c>
      <c r="J32" s="1" t="s">
        <v>35</v>
      </c>
      <c r="K32" s="1" t="s">
        <v>227</v>
      </c>
      <c r="L32" s="1" t="s">
        <v>228</v>
      </c>
      <c r="M32" s="1" t="s">
        <v>229</v>
      </c>
      <c r="N32" s="1" t="s">
        <v>230</v>
      </c>
      <c r="O32" s="1">
        <v>1</v>
      </c>
      <c r="P32">
        <v>1</v>
      </c>
      <c r="T32">
        <v>1</v>
      </c>
      <c r="U32" t="s">
        <v>88</v>
      </c>
      <c r="V32">
        <v>1</v>
      </c>
    </row>
    <row r="33" spans="1:23" ht="188.25">
      <c r="A33" s="1" t="s">
        <v>95</v>
      </c>
      <c r="B33" s="1">
        <v>16529</v>
      </c>
      <c r="C33" s="1" t="s">
        <v>231</v>
      </c>
      <c r="D33" s="1" t="s">
        <v>232</v>
      </c>
      <c r="E33" s="1">
        <v>1</v>
      </c>
      <c r="F33" s="1">
        <v>1</v>
      </c>
      <c r="G33" s="1" t="s">
        <v>233</v>
      </c>
      <c r="H33" s="1" t="s">
        <v>99</v>
      </c>
      <c r="I33" s="1" t="s">
        <v>25</v>
      </c>
      <c r="J33" s="1" t="s">
        <v>26</v>
      </c>
      <c r="K33" s="1" t="s">
        <v>234</v>
      </c>
      <c r="L33" s="1" t="s">
        <v>235</v>
      </c>
      <c r="M33" s="1" t="s">
        <v>236</v>
      </c>
      <c r="N33" s="1" t="s">
        <v>237</v>
      </c>
      <c r="O33" s="1">
        <v>1</v>
      </c>
      <c r="P33">
        <v>1</v>
      </c>
      <c r="T33">
        <v>1</v>
      </c>
      <c r="U33" t="s">
        <v>88</v>
      </c>
      <c r="V33">
        <v>0</v>
      </c>
    </row>
    <row r="34" spans="1:23" ht="188.25">
      <c r="A34" s="1" t="s">
        <v>95</v>
      </c>
      <c r="B34" s="1">
        <v>16750</v>
      </c>
      <c r="C34" s="1" t="s">
        <v>238</v>
      </c>
      <c r="D34" s="1" t="s">
        <v>239</v>
      </c>
      <c r="E34" s="1">
        <v>0</v>
      </c>
      <c r="F34" s="1">
        <v>0</v>
      </c>
      <c r="G34" s="1" t="s">
        <v>240</v>
      </c>
      <c r="H34" s="1" t="s">
        <v>241</v>
      </c>
      <c r="I34" s="1" t="s">
        <v>25</v>
      </c>
      <c r="J34" s="1" t="s">
        <v>26</v>
      </c>
      <c r="K34" s="1" t="s">
        <v>242</v>
      </c>
      <c r="L34" s="1" t="s">
        <v>243</v>
      </c>
      <c r="M34" s="1" t="s">
        <v>151</v>
      </c>
      <c r="N34" s="1" t="s">
        <v>244</v>
      </c>
      <c r="O34" s="1">
        <v>1</v>
      </c>
      <c r="P34">
        <v>1</v>
      </c>
      <c r="T34">
        <v>0</v>
      </c>
      <c r="U34" t="s">
        <v>208</v>
      </c>
      <c r="V34">
        <v>0</v>
      </c>
    </row>
    <row r="35" spans="1:23" ht="201.75">
      <c r="A35" s="1" t="s">
        <v>95</v>
      </c>
      <c r="B35" s="1">
        <v>16820</v>
      </c>
      <c r="C35" s="1" t="s">
        <v>245</v>
      </c>
      <c r="D35" s="1" t="s">
        <v>246</v>
      </c>
      <c r="E35" s="1">
        <v>0</v>
      </c>
      <c r="F35" s="1">
        <v>0</v>
      </c>
      <c r="G35" s="1" t="s">
        <v>247</v>
      </c>
      <c r="H35" s="1" t="s">
        <v>248</v>
      </c>
      <c r="I35" s="1" t="s">
        <v>25</v>
      </c>
      <c r="J35" s="1" t="s">
        <v>26</v>
      </c>
      <c r="K35" s="1" t="s">
        <v>249</v>
      </c>
      <c r="L35" s="1" t="s">
        <v>250</v>
      </c>
      <c r="M35" s="1" t="s">
        <v>251</v>
      </c>
      <c r="N35" s="1" t="s">
        <v>252</v>
      </c>
      <c r="O35" s="1">
        <v>1</v>
      </c>
      <c r="P35">
        <v>1</v>
      </c>
      <c r="T35">
        <v>0</v>
      </c>
      <c r="U35" t="s">
        <v>208</v>
      </c>
      <c r="V35">
        <v>1</v>
      </c>
    </row>
    <row r="36" spans="1:23" ht="188.25">
      <c r="A36" s="1" t="s">
        <v>95</v>
      </c>
      <c r="B36" s="1">
        <v>17130</v>
      </c>
      <c r="C36" s="1" t="s">
        <v>253</v>
      </c>
      <c r="D36" s="1" t="s">
        <v>254</v>
      </c>
      <c r="E36" s="1">
        <v>9</v>
      </c>
      <c r="F36" s="1">
        <v>6</v>
      </c>
      <c r="G36" s="1" t="s">
        <v>255</v>
      </c>
      <c r="H36" s="1" t="s">
        <v>141</v>
      </c>
      <c r="I36" s="1" t="s">
        <v>25</v>
      </c>
      <c r="J36" s="1" t="s">
        <v>35</v>
      </c>
      <c r="K36" s="1" t="s">
        <v>256</v>
      </c>
      <c r="L36" s="1" t="s">
        <v>257</v>
      </c>
      <c r="M36" s="1" t="s">
        <v>258</v>
      </c>
      <c r="N36" s="1" t="s">
        <v>259</v>
      </c>
      <c r="O36" s="1">
        <v>0</v>
      </c>
      <c r="P36">
        <v>1</v>
      </c>
      <c r="T36">
        <v>1</v>
      </c>
      <c r="U36" t="s">
        <v>88</v>
      </c>
      <c r="V36">
        <v>1</v>
      </c>
    </row>
    <row r="37" spans="1:23" ht="188.25">
      <c r="A37" s="1" t="s">
        <v>95</v>
      </c>
      <c r="B37" s="1">
        <v>17246</v>
      </c>
      <c r="C37" s="1" t="s">
        <v>260</v>
      </c>
      <c r="D37" s="1" t="s">
        <v>261</v>
      </c>
      <c r="E37" s="1">
        <v>4</v>
      </c>
      <c r="F37" s="1">
        <v>4</v>
      </c>
      <c r="G37" s="1" t="s">
        <v>262</v>
      </c>
      <c r="H37" s="1" t="s">
        <v>262</v>
      </c>
      <c r="I37" s="1" t="s">
        <v>25</v>
      </c>
      <c r="J37" s="1" t="s">
        <v>35</v>
      </c>
      <c r="K37" s="1" t="s">
        <v>263</v>
      </c>
      <c r="L37" s="1" t="s">
        <v>264</v>
      </c>
      <c r="M37" s="1" t="s">
        <v>265</v>
      </c>
      <c r="N37" s="1" t="s">
        <v>266</v>
      </c>
      <c r="O37" s="1">
        <v>1</v>
      </c>
      <c r="P37">
        <v>1</v>
      </c>
      <c r="T37">
        <v>1</v>
      </c>
      <c r="U37" t="s">
        <v>88</v>
      </c>
      <c r="V37">
        <v>1</v>
      </c>
    </row>
    <row r="38" spans="1:23" ht="201.75">
      <c r="A38" s="1" t="s">
        <v>95</v>
      </c>
      <c r="B38" s="1">
        <v>17325</v>
      </c>
      <c r="C38" s="1" t="s">
        <v>267</v>
      </c>
      <c r="D38" s="1" t="s">
        <v>268</v>
      </c>
      <c r="E38" s="1">
        <v>3</v>
      </c>
      <c r="F38" s="1">
        <v>3</v>
      </c>
      <c r="G38" s="1" t="s">
        <v>269</v>
      </c>
      <c r="H38" s="1" t="s">
        <v>270</v>
      </c>
      <c r="I38" s="1" t="s">
        <v>25</v>
      </c>
      <c r="J38" s="1" t="s">
        <v>42</v>
      </c>
      <c r="K38" s="1" t="s">
        <v>271</v>
      </c>
      <c r="L38" s="1" t="s">
        <v>272</v>
      </c>
      <c r="M38" s="1" t="s">
        <v>273</v>
      </c>
      <c r="N38" s="1" t="s">
        <v>274</v>
      </c>
      <c r="O38" s="1">
        <v>1</v>
      </c>
      <c r="P38">
        <v>1</v>
      </c>
      <c r="T38">
        <v>1</v>
      </c>
      <c r="U38" t="s">
        <v>88</v>
      </c>
      <c r="V38">
        <v>1</v>
      </c>
    </row>
    <row r="39" spans="1:23" s="2" customFormat="1" ht="188.25">
      <c r="A39" s="3" t="s">
        <v>95</v>
      </c>
      <c r="B39" s="3">
        <v>17475</v>
      </c>
      <c r="C39" s="3" t="s">
        <v>275</v>
      </c>
      <c r="D39" s="3" t="s">
        <v>276</v>
      </c>
      <c r="E39" s="3">
        <v>2</v>
      </c>
      <c r="F39" s="3">
        <v>2</v>
      </c>
      <c r="G39" s="3" t="s">
        <v>277</v>
      </c>
      <c r="H39" s="3" t="s">
        <v>278</v>
      </c>
      <c r="I39" s="3" t="s">
        <v>25</v>
      </c>
      <c r="J39" s="3" t="s">
        <v>42</v>
      </c>
      <c r="K39" s="3" t="s">
        <v>279</v>
      </c>
      <c r="L39" s="3" t="s">
        <v>280</v>
      </c>
      <c r="M39" s="3" t="s">
        <v>151</v>
      </c>
      <c r="N39" s="3" t="s">
        <v>281</v>
      </c>
      <c r="O39" s="3">
        <v>1</v>
      </c>
      <c r="P39" s="2">
        <v>1</v>
      </c>
      <c r="T39" s="2">
        <v>1</v>
      </c>
      <c r="U39" s="2" t="s">
        <v>88</v>
      </c>
      <c r="V39" s="2">
        <v>1</v>
      </c>
      <c r="W39"/>
    </row>
    <row r="40" spans="1:23" ht="174">
      <c r="A40" s="1" t="s">
        <v>95</v>
      </c>
      <c r="B40" s="1">
        <v>17737</v>
      </c>
      <c r="C40" s="1" t="s">
        <v>282</v>
      </c>
      <c r="D40" s="1" t="s">
        <v>283</v>
      </c>
      <c r="E40" s="1">
        <v>26</v>
      </c>
      <c r="F40" s="1">
        <v>4</v>
      </c>
      <c r="G40" s="1" t="s">
        <v>284</v>
      </c>
      <c r="H40" s="1" t="s">
        <v>56</v>
      </c>
      <c r="I40" s="1" t="s">
        <v>25</v>
      </c>
      <c r="J40" s="1" t="s">
        <v>35</v>
      </c>
      <c r="K40" s="1" t="s">
        <v>285</v>
      </c>
      <c r="L40" s="1" t="s">
        <v>286</v>
      </c>
      <c r="M40" s="1" t="s">
        <v>158</v>
      </c>
      <c r="N40" s="1" t="s">
        <v>287</v>
      </c>
      <c r="O40" s="1">
        <v>1</v>
      </c>
      <c r="P40">
        <v>1</v>
      </c>
      <c r="T40">
        <v>1</v>
      </c>
      <c r="U40" t="s">
        <v>88</v>
      </c>
      <c r="V40">
        <v>0</v>
      </c>
      <c r="W40" s="2"/>
    </row>
    <row r="41" spans="1:23" ht="188.25">
      <c r="A41" s="1" t="s">
        <v>95</v>
      </c>
      <c r="B41" s="1">
        <v>18151</v>
      </c>
      <c r="C41" s="1" t="s">
        <v>288</v>
      </c>
      <c r="D41" s="1" t="s">
        <v>289</v>
      </c>
      <c r="E41" s="1">
        <v>9</v>
      </c>
      <c r="F41" s="1">
        <v>3</v>
      </c>
      <c r="G41" s="1" t="s">
        <v>168</v>
      </c>
      <c r="H41" s="1" t="s">
        <v>168</v>
      </c>
      <c r="I41" s="1" t="s">
        <v>49</v>
      </c>
      <c r="J41" s="1" t="s">
        <v>35</v>
      </c>
      <c r="K41" s="1" t="s">
        <v>290</v>
      </c>
      <c r="L41" s="1" t="s">
        <v>291</v>
      </c>
      <c r="M41" s="1" t="s">
        <v>258</v>
      </c>
      <c r="N41" s="1" t="s">
        <v>292</v>
      </c>
      <c r="O41" s="1">
        <v>0</v>
      </c>
      <c r="P41">
        <v>1</v>
      </c>
      <c r="T41">
        <v>1</v>
      </c>
      <c r="U41" t="s">
        <v>88</v>
      </c>
      <c r="V41">
        <v>1</v>
      </c>
    </row>
    <row r="42" spans="1:23" ht="188.25">
      <c r="A42" s="1" t="s">
        <v>95</v>
      </c>
      <c r="B42" s="1">
        <v>18237</v>
      </c>
      <c r="C42" s="1" t="s">
        <v>293</v>
      </c>
      <c r="D42" s="1" t="s">
        <v>294</v>
      </c>
      <c r="E42" s="1">
        <v>1</v>
      </c>
      <c r="F42" s="1">
        <v>1</v>
      </c>
      <c r="G42" s="1" t="s">
        <v>295</v>
      </c>
      <c r="H42" s="1" t="s">
        <v>107</v>
      </c>
      <c r="I42" s="1" t="s">
        <v>49</v>
      </c>
      <c r="J42" s="1" t="s">
        <v>26</v>
      </c>
      <c r="K42" s="1" t="s">
        <v>296</v>
      </c>
      <c r="L42" s="1" t="s">
        <v>297</v>
      </c>
      <c r="M42" s="1" t="s">
        <v>258</v>
      </c>
      <c r="N42" s="5" t="s">
        <v>298</v>
      </c>
      <c r="O42" s="1">
        <v>1</v>
      </c>
      <c r="P42">
        <v>1</v>
      </c>
      <c r="T42">
        <v>1</v>
      </c>
      <c r="U42" t="s">
        <v>88</v>
      </c>
      <c r="V42">
        <v>1</v>
      </c>
    </row>
    <row r="43" spans="1:23" ht="188.25">
      <c r="A43" s="1" t="s">
        <v>95</v>
      </c>
      <c r="B43" s="1">
        <v>18248</v>
      </c>
      <c r="C43" s="1" t="s">
        <v>299</v>
      </c>
      <c r="D43" s="1" t="s">
        <v>300</v>
      </c>
      <c r="E43" s="1">
        <v>2</v>
      </c>
      <c r="F43" s="1">
        <v>2</v>
      </c>
      <c r="G43" s="1" t="s">
        <v>301</v>
      </c>
      <c r="H43" s="1" t="s">
        <v>301</v>
      </c>
      <c r="I43" s="1" t="s">
        <v>49</v>
      </c>
      <c r="J43" s="1" t="s">
        <v>42</v>
      </c>
      <c r="K43" s="1" t="s">
        <v>302</v>
      </c>
      <c r="L43" s="1" t="s">
        <v>303</v>
      </c>
      <c r="M43" s="1" t="s">
        <v>151</v>
      </c>
      <c r="N43" s="1" t="s">
        <v>304</v>
      </c>
      <c r="O43" s="1">
        <v>1</v>
      </c>
      <c r="P43">
        <v>1</v>
      </c>
      <c r="T43">
        <v>1</v>
      </c>
      <c r="U43" t="s">
        <v>88</v>
      </c>
      <c r="V43">
        <v>0</v>
      </c>
    </row>
    <row r="44" spans="1:23" ht="201.75">
      <c r="A44" s="1" t="s">
        <v>95</v>
      </c>
      <c r="B44" s="1">
        <v>18251</v>
      </c>
      <c r="C44" s="1" t="s">
        <v>305</v>
      </c>
      <c r="D44" s="1" t="s">
        <v>306</v>
      </c>
      <c r="E44" s="1">
        <v>6</v>
      </c>
      <c r="F44" s="1">
        <v>3</v>
      </c>
      <c r="G44" s="1" t="s">
        <v>307</v>
      </c>
      <c r="H44" s="1" t="s">
        <v>307</v>
      </c>
      <c r="I44" s="1" t="s">
        <v>49</v>
      </c>
      <c r="J44" s="1" t="s">
        <v>35</v>
      </c>
      <c r="K44" s="1" t="s">
        <v>308</v>
      </c>
      <c r="L44" s="1" t="s">
        <v>309</v>
      </c>
      <c r="M44" s="1" t="s">
        <v>151</v>
      </c>
      <c r="N44" s="1" t="s">
        <v>310</v>
      </c>
      <c r="O44" s="1">
        <v>1</v>
      </c>
      <c r="P44">
        <v>1</v>
      </c>
      <c r="T44">
        <v>1</v>
      </c>
      <c r="U44" t="s">
        <v>88</v>
      </c>
      <c r="V44">
        <v>1</v>
      </c>
    </row>
    <row r="45" spans="1:23" ht="188.25">
      <c r="A45" s="1" t="s">
        <v>95</v>
      </c>
      <c r="B45" s="1">
        <v>18433</v>
      </c>
      <c r="C45" s="1" t="s">
        <v>311</v>
      </c>
      <c r="D45" s="1" t="s">
        <v>312</v>
      </c>
      <c r="E45" s="1">
        <v>2</v>
      </c>
      <c r="F45" s="1">
        <v>2</v>
      </c>
      <c r="G45" s="1" t="s">
        <v>313</v>
      </c>
      <c r="H45" s="1" t="s">
        <v>313</v>
      </c>
      <c r="I45" s="1" t="s">
        <v>49</v>
      </c>
      <c r="J45" s="1" t="s">
        <v>42</v>
      </c>
      <c r="K45" s="1" t="s">
        <v>314</v>
      </c>
      <c r="L45" s="1" t="s">
        <v>315</v>
      </c>
      <c r="M45" s="1" t="s">
        <v>151</v>
      </c>
      <c r="N45" s="1" t="s">
        <v>316</v>
      </c>
      <c r="O45" s="1">
        <v>1</v>
      </c>
      <c r="P45">
        <v>1</v>
      </c>
      <c r="T45">
        <v>1</v>
      </c>
      <c r="U45" t="s">
        <v>88</v>
      </c>
      <c r="V45">
        <v>1</v>
      </c>
    </row>
    <row r="46" spans="1:23" ht="188.25">
      <c r="A46" s="1" t="s">
        <v>95</v>
      </c>
      <c r="B46" s="1">
        <v>18491</v>
      </c>
      <c r="C46" s="1" t="s">
        <v>317</v>
      </c>
      <c r="D46" s="1" t="s">
        <v>318</v>
      </c>
      <c r="E46" s="1">
        <v>4</v>
      </c>
      <c r="F46" s="1">
        <v>2</v>
      </c>
      <c r="G46" s="1" t="s">
        <v>319</v>
      </c>
      <c r="H46" s="1" t="s">
        <v>107</v>
      </c>
      <c r="I46" s="1" t="s">
        <v>49</v>
      </c>
      <c r="J46" s="1" t="s">
        <v>35</v>
      </c>
      <c r="K46" s="1" t="s">
        <v>320</v>
      </c>
      <c r="L46" s="1" t="s">
        <v>321</v>
      </c>
      <c r="M46" s="1" t="s">
        <v>273</v>
      </c>
      <c r="N46" s="1" t="s">
        <v>322</v>
      </c>
      <c r="O46" s="1">
        <v>1</v>
      </c>
      <c r="P46">
        <v>1</v>
      </c>
      <c r="T46">
        <v>1</v>
      </c>
      <c r="U46" t="s">
        <v>88</v>
      </c>
      <c r="V46">
        <v>1</v>
      </c>
    </row>
    <row r="47" spans="1:23" ht="188.25">
      <c r="A47" s="1" t="s">
        <v>95</v>
      </c>
      <c r="B47" s="1">
        <v>18573</v>
      </c>
      <c r="C47" s="1" t="s">
        <v>323</v>
      </c>
      <c r="D47" s="1" t="s">
        <v>324</v>
      </c>
      <c r="E47" s="1">
        <v>2</v>
      </c>
      <c r="F47" s="1">
        <v>1</v>
      </c>
      <c r="G47" s="1" t="s">
        <v>325</v>
      </c>
      <c r="H47" s="1" t="s">
        <v>262</v>
      </c>
      <c r="I47" s="1" t="s">
        <v>49</v>
      </c>
      <c r="J47" s="1" t="s">
        <v>42</v>
      </c>
      <c r="K47" s="1" t="s">
        <v>326</v>
      </c>
      <c r="L47" s="1" t="s">
        <v>327</v>
      </c>
      <c r="M47" s="1" t="s">
        <v>144</v>
      </c>
      <c r="N47" s="1" t="s">
        <v>328</v>
      </c>
      <c r="O47" s="1">
        <v>1</v>
      </c>
      <c r="P47">
        <v>1</v>
      </c>
      <c r="T47">
        <v>1</v>
      </c>
      <c r="U47" t="s">
        <v>88</v>
      </c>
      <c r="V47">
        <v>1</v>
      </c>
    </row>
    <row r="48" spans="1:23" ht="201.75">
      <c r="A48" s="1" t="s">
        <v>95</v>
      </c>
      <c r="B48" s="1">
        <v>19155</v>
      </c>
      <c r="C48" s="1" t="s">
        <v>329</v>
      </c>
      <c r="D48" s="1" t="s">
        <v>330</v>
      </c>
      <c r="E48" s="1">
        <v>1</v>
      </c>
      <c r="F48" s="1">
        <v>1</v>
      </c>
      <c r="G48" s="1" t="s">
        <v>270</v>
      </c>
      <c r="H48" s="1" t="s">
        <v>270</v>
      </c>
      <c r="I48" s="1" t="s">
        <v>49</v>
      </c>
      <c r="J48" s="1" t="s">
        <v>26</v>
      </c>
      <c r="K48" s="1" t="s">
        <v>331</v>
      </c>
      <c r="L48" s="1" t="s">
        <v>332</v>
      </c>
      <c r="M48" s="1" t="s">
        <v>333</v>
      </c>
      <c r="N48" s="1" t="s">
        <v>333</v>
      </c>
      <c r="O48" s="1">
        <v>1</v>
      </c>
      <c r="P48">
        <v>1</v>
      </c>
      <c r="T48">
        <v>0</v>
      </c>
      <c r="U48" t="s">
        <v>208</v>
      </c>
      <c r="V48">
        <v>0</v>
      </c>
    </row>
    <row r="49" spans="1:22" ht="188.25">
      <c r="A49" s="1" t="s">
        <v>95</v>
      </c>
      <c r="B49" s="1">
        <v>19209</v>
      </c>
      <c r="C49" s="1" t="s">
        <v>334</v>
      </c>
      <c r="D49" s="1" t="s">
        <v>335</v>
      </c>
      <c r="E49" s="1">
        <v>3</v>
      </c>
      <c r="F49" s="1">
        <v>2</v>
      </c>
      <c r="G49" s="1" t="s">
        <v>336</v>
      </c>
      <c r="H49" s="1" t="s">
        <v>278</v>
      </c>
      <c r="I49" s="1" t="s">
        <v>49</v>
      </c>
      <c r="J49" s="1" t="s">
        <v>42</v>
      </c>
      <c r="K49" s="1" t="s">
        <v>337</v>
      </c>
      <c r="L49" s="1" t="s">
        <v>338</v>
      </c>
      <c r="M49" s="1" t="s">
        <v>151</v>
      </c>
      <c r="N49" s="1" t="s">
        <v>339</v>
      </c>
      <c r="O49" s="1">
        <v>1</v>
      </c>
      <c r="P49">
        <v>1</v>
      </c>
      <c r="T49">
        <v>1</v>
      </c>
      <c r="U49" t="s">
        <v>88</v>
      </c>
      <c r="V49">
        <v>1</v>
      </c>
    </row>
    <row r="50" spans="1:22" ht="130.5">
      <c r="A50" s="1" t="s">
        <v>95</v>
      </c>
      <c r="B50" s="1">
        <v>19490</v>
      </c>
      <c r="C50" s="1" t="s">
        <v>340</v>
      </c>
      <c r="D50" s="1" t="s">
        <v>341</v>
      </c>
      <c r="E50" s="1">
        <v>1</v>
      </c>
      <c r="F50" s="1">
        <v>1</v>
      </c>
      <c r="G50" s="1"/>
      <c r="H50" s="1"/>
      <c r="I50" s="1" t="s">
        <v>49</v>
      </c>
      <c r="J50" s="1" t="s">
        <v>26</v>
      </c>
      <c r="K50" s="1" t="s">
        <v>50</v>
      </c>
      <c r="L50" s="1" t="s">
        <v>342</v>
      </c>
      <c r="M50" s="1" t="s">
        <v>258</v>
      </c>
      <c r="N50" s="5" t="s">
        <v>343</v>
      </c>
      <c r="O50" s="1">
        <v>0</v>
      </c>
      <c r="P50">
        <v>1</v>
      </c>
      <c r="T50">
        <v>1</v>
      </c>
      <c r="U50" t="s">
        <v>88</v>
      </c>
      <c r="V50">
        <v>1</v>
      </c>
    </row>
    <row r="51" spans="1:22" ht="174">
      <c r="A51" s="1" t="s">
        <v>95</v>
      </c>
      <c r="B51" s="1">
        <v>19568</v>
      </c>
      <c r="C51" s="1" t="s">
        <v>344</v>
      </c>
      <c r="D51" s="1" t="s">
        <v>345</v>
      </c>
      <c r="E51" s="1">
        <v>6</v>
      </c>
      <c r="F51" s="1">
        <v>4</v>
      </c>
      <c r="G51" s="1" t="s">
        <v>181</v>
      </c>
      <c r="H51" s="1" t="s">
        <v>56</v>
      </c>
      <c r="I51" s="1" t="s">
        <v>49</v>
      </c>
      <c r="J51" s="1" t="s">
        <v>35</v>
      </c>
      <c r="K51" s="1" t="s">
        <v>57</v>
      </c>
      <c r="L51" s="1" t="s">
        <v>346</v>
      </c>
      <c r="M51" s="1" t="s">
        <v>258</v>
      </c>
      <c r="N51" s="1" t="s">
        <v>347</v>
      </c>
      <c r="O51" s="1">
        <v>1</v>
      </c>
      <c r="P51">
        <v>1</v>
      </c>
      <c r="T51">
        <v>1</v>
      </c>
      <c r="U51" t="s">
        <v>88</v>
      </c>
      <c r="V51">
        <v>1</v>
      </c>
    </row>
    <row r="52" spans="1:22" s="2" customFormat="1" ht="188.25">
      <c r="A52" s="3" t="s">
        <v>95</v>
      </c>
      <c r="B52" s="3">
        <v>19697</v>
      </c>
      <c r="C52" s="3" t="s">
        <v>348</v>
      </c>
      <c r="D52" s="3" t="s">
        <v>349</v>
      </c>
      <c r="E52" s="3">
        <v>0</v>
      </c>
      <c r="F52" s="3">
        <v>0</v>
      </c>
      <c r="G52" s="3" t="s">
        <v>350</v>
      </c>
      <c r="H52" s="3" t="s">
        <v>351</v>
      </c>
      <c r="I52" s="3" t="s">
        <v>49</v>
      </c>
      <c r="J52" s="3" t="s">
        <v>26</v>
      </c>
      <c r="K52" s="3" t="s">
        <v>352</v>
      </c>
      <c r="L52" s="3" t="s">
        <v>353</v>
      </c>
      <c r="M52" s="3" t="s">
        <v>151</v>
      </c>
      <c r="N52" s="3" t="s">
        <v>354</v>
      </c>
      <c r="O52" s="3"/>
      <c r="T52" s="2">
        <v>1</v>
      </c>
      <c r="U52" s="2" t="s">
        <v>88</v>
      </c>
      <c r="V52" s="2">
        <v>1</v>
      </c>
    </row>
    <row r="53" spans="1:22" ht="188.25">
      <c r="A53" s="1" t="s">
        <v>95</v>
      </c>
      <c r="B53" s="1">
        <v>20272</v>
      </c>
      <c r="C53" s="1" t="s">
        <v>355</v>
      </c>
      <c r="D53" s="1" t="s">
        <v>356</v>
      </c>
      <c r="E53" s="1">
        <v>2</v>
      </c>
      <c r="F53" s="1">
        <v>2</v>
      </c>
      <c r="G53" s="1" t="s">
        <v>357</v>
      </c>
      <c r="H53" s="1" t="s">
        <v>358</v>
      </c>
      <c r="I53" s="1" t="s">
        <v>49</v>
      </c>
      <c r="J53" s="1" t="s">
        <v>42</v>
      </c>
      <c r="K53" s="1" t="s">
        <v>359</v>
      </c>
      <c r="L53" s="1" t="s">
        <v>360</v>
      </c>
      <c r="M53" s="1"/>
      <c r="N53" s="1"/>
      <c r="O53" s="1"/>
      <c r="T53">
        <v>1</v>
      </c>
      <c r="U53" t="s">
        <v>31</v>
      </c>
      <c r="V53">
        <v>1</v>
      </c>
    </row>
    <row r="54" spans="1:22" ht="130.5">
      <c r="A54" s="1" t="s">
        <v>95</v>
      </c>
      <c r="B54" s="1">
        <v>20589</v>
      </c>
      <c r="C54" s="1" t="s">
        <v>361</v>
      </c>
      <c r="D54" s="1" t="s">
        <v>362</v>
      </c>
      <c r="E54" s="1">
        <v>2</v>
      </c>
      <c r="F54" s="1">
        <v>2</v>
      </c>
      <c r="G54" s="1"/>
      <c r="H54" s="1"/>
      <c r="I54" s="1" t="s">
        <v>49</v>
      </c>
      <c r="J54" s="1" t="s">
        <v>42</v>
      </c>
      <c r="K54" s="1" t="s">
        <v>363</v>
      </c>
      <c r="L54" s="1" t="s">
        <v>364</v>
      </c>
      <c r="M54" s="1"/>
      <c r="N54" s="1"/>
      <c r="O54" s="1"/>
      <c r="T54">
        <v>0</v>
      </c>
      <c r="U54" t="s">
        <v>208</v>
      </c>
      <c r="V54">
        <v>0</v>
      </c>
    </row>
    <row r="55" spans="1:22" ht="188.25">
      <c r="A55" s="1" t="s">
        <v>95</v>
      </c>
      <c r="B55" s="1">
        <v>21521</v>
      </c>
      <c r="C55" s="1" t="s">
        <v>365</v>
      </c>
      <c r="D55" s="1" t="s">
        <v>366</v>
      </c>
      <c r="E55" s="1">
        <v>5</v>
      </c>
      <c r="F55" s="1">
        <v>2</v>
      </c>
      <c r="G55" s="1" t="s">
        <v>367</v>
      </c>
      <c r="H55" s="1" t="s">
        <v>367</v>
      </c>
      <c r="I55" s="1" t="s">
        <v>49</v>
      </c>
      <c r="J55" s="1" t="s">
        <v>35</v>
      </c>
      <c r="K55" s="1" t="s">
        <v>368</v>
      </c>
      <c r="L55" s="1" t="s">
        <v>369</v>
      </c>
      <c r="M55" s="1"/>
      <c r="N55" s="1"/>
      <c r="O55" s="1"/>
      <c r="T55">
        <v>1</v>
      </c>
      <c r="U55" t="s">
        <v>88</v>
      </c>
      <c r="V55">
        <v>1</v>
      </c>
    </row>
    <row r="56" spans="1:22" ht="201.75">
      <c r="A56" s="1" t="s">
        <v>95</v>
      </c>
      <c r="B56" s="1">
        <v>21976</v>
      </c>
      <c r="C56" s="1" t="s">
        <v>370</v>
      </c>
      <c r="D56" s="1" t="s">
        <v>371</v>
      </c>
      <c r="E56" s="1">
        <v>2</v>
      </c>
      <c r="F56" s="1">
        <v>2</v>
      </c>
      <c r="G56" s="1" t="s">
        <v>270</v>
      </c>
      <c r="H56" s="1" t="s">
        <v>270</v>
      </c>
      <c r="I56" s="1" t="s">
        <v>49</v>
      </c>
      <c r="J56" s="1" t="s">
        <v>42</v>
      </c>
      <c r="K56" s="1" t="s">
        <v>372</v>
      </c>
      <c r="L56" s="1" t="s">
        <v>373</v>
      </c>
      <c r="M56" s="1"/>
      <c r="N56" s="1"/>
      <c r="O56" s="1"/>
      <c r="T56">
        <v>1</v>
      </c>
      <c r="U56" t="s">
        <v>88</v>
      </c>
      <c r="V56">
        <v>1</v>
      </c>
    </row>
    <row r="57" spans="1:22" ht="130.5">
      <c r="A57" s="1" t="s">
        <v>95</v>
      </c>
      <c r="B57" s="1">
        <v>22045</v>
      </c>
      <c r="C57" s="1" t="s">
        <v>374</v>
      </c>
      <c r="D57" s="1" t="s">
        <v>375</v>
      </c>
      <c r="E57" s="1">
        <v>1</v>
      </c>
      <c r="F57" s="1">
        <v>1</v>
      </c>
      <c r="G57" s="1"/>
      <c r="H57" s="1"/>
      <c r="I57" s="1" t="s">
        <v>49</v>
      </c>
      <c r="J57" s="1" t="s">
        <v>26</v>
      </c>
      <c r="K57" s="1" t="s">
        <v>50</v>
      </c>
      <c r="L57" s="1" t="s">
        <v>376</v>
      </c>
      <c r="M57" s="1"/>
      <c r="N57" s="1"/>
      <c r="O57" s="1"/>
      <c r="T57">
        <v>0</v>
      </c>
      <c r="U57" t="s">
        <v>208</v>
      </c>
      <c r="V57">
        <v>1</v>
      </c>
    </row>
    <row r="58" spans="1:22" ht="188.25">
      <c r="A58" s="1" t="s">
        <v>95</v>
      </c>
      <c r="B58" s="1">
        <v>22214</v>
      </c>
      <c r="C58" s="1" t="s">
        <v>377</v>
      </c>
      <c r="D58" s="1" t="s">
        <v>378</v>
      </c>
      <c r="E58" s="1">
        <v>3</v>
      </c>
      <c r="F58" s="1">
        <v>3</v>
      </c>
      <c r="G58" s="1" t="s">
        <v>168</v>
      </c>
      <c r="H58" s="1" t="s">
        <v>168</v>
      </c>
      <c r="I58" s="1" t="s">
        <v>49</v>
      </c>
      <c r="J58" s="1" t="s">
        <v>35</v>
      </c>
      <c r="K58" s="1" t="s">
        <v>290</v>
      </c>
      <c r="L58" s="1" t="s">
        <v>379</v>
      </c>
      <c r="M58" s="1"/>
      <c r="N58" s="1"/>
      <c r="O58" s="1"/>
      <c r="T58">
        <v>1</v>
      </c>
      <c r="U58" t="s">
        <v>88</v>
      </c>
      <c r="V58">
        <v>1</v>
      </c>
    </row>
    <row r="59" spans="1:22" ht="188.25">
      <c r="A59" s="1" t="s">
        <v>95</v>
      </c>
      <c r="B59" s="1">
        <v>22461</v>
      </c>
      <c r="C59" s="1" t="s">
        <v>380</v>
      </c>
      <c r="D59" s="1" t="s">
        <v>381</v>
      </c>
      <c r="E59" s="1">
        <v>2</v>
      </c>
      <c r="F59" s="1">
        <v>2</v>
      </c>
      <c r="G59" s="1" t="s">
        <v>382</v>
      </c>
      <c r="H59" s="1" t="s">
        <v>383</v>
      </c>
      <c r="I59" s="1" t="s">
        <v>49</v>
      </c>
      <c r="J59" s="1" t="s">
        <v>42</v>
      </c>
      <c r="K59" s="1" t="s">
        <v>384</v>
      </c>
      <c r="L59" s="1" t="s">
        <v>385</v>
      </c>
      <c r="M59" s="1"/>
      <c r="N59" s="1"/>
      <c r="O59" s="1"/>
      <c r="T59">
        <v>1</v>
      </c>
      <c r="U59" t="s">
        <v>88</v>
      </c>
      <c r="V59">
        <v>1</v>
      </c>
    </row>
    <row r="60" spans="1:22" ht="188.25">
      <c r="A60" s="1" t="s">
        <v>95</v>
      </c>
      <c r="B60" s="1">
        <v>22578</v>
      </c>
      <c r="C60" s="1" t="s">
        <v>386</v>
      </c>
      <c r="D60" s="1" t="s">
        <v>387</v>
      </c>
      <c r="E60" s="1">
        <v>8</v>
      </c>
      <c r="F60" s="1">
        <v>2</v>
      </c>
      <c r="G60" s="1" t="s">
        <v>367</v>
      </c>
      <c r="H60" s="1" t="s">
        <v>367</v>
      </c>
      <c r="I60" s="1" t="s">
        <v>49</v>
      </c>
      <c r="J60" s="1" t="s">
        <v>35</v>
      </c>
      <c r="K60" s="1" t="s">
        <v>368</v>
      </c>
      <c r="L60" s="1" t="s">
        <v>388</v>
      </c>
      <c r="M60" s="1"/>
      <c r="N60" s="1"/>
      <c r="O60" s="1"/>
      <c r="T60">
        <v>1</v>
      </c>
      <c r="U60" t="s">
        <v>88</v>
      </c>
      <c r="V60">
        <v>0</v>
      </c>
    </row>
    <row r="61" spans="1:22" ht="188.25">
      <c r="A61" s="1" t="s">
        <v>95</v>
      </c>
      <c r="B61" s="1">
        <v>22602</v>
      </c>
      <c r="C61" s="1" t="s">
        <v>389</v>
      </c>
      <c r="D61" s="1" t="s">
        <v>390</v>
      </c>
      <c r="E61" s="1">
        <v>1</v>
      </c>
      <c r="F61" s="1">
        <v>1</v>
      </c>
      <c r="G61" s="1" t="s">
        <v>391</v>
      </c>
      <c r="H61" s="1" t="s">
        <v>107</v>
      </c>
      <c r="I61" s="1" t="s">
        <v>49</v>
      </c>
      <c r="J61" s="1" t="s">
        <v>26</v>
      </c>
      <c r="K61" s="1" t="s">
        <v>296</v>
      </c>
      <c r="L61" s="1" t="s">
        <v>392</v>
      </c>
      <c r="M61" s="1"/>
      <c r="N61" s="1"/>
      <c r="O61" s="1"/>
      <c r="T61">
        <v>1</v>
      </c>
      <c r="U61" t="s">
        <v>88</v>
      </c>
      <c r="V61">
        <v>1</v>
      </c>
    </row>
    <row r="62" spans="1:22" ht="188.25">
      <c r="A62" s="1" t="s">
        <v>95</v>
      </c>
      <c r="B62" s="1">
        <v>23793</v>
      </c>
      <c r="C62" s="1" t="s">
        <v>393</v>
      </c>
      <c r="D62" s="1" t="s">
        <v>394</v>
      </c>
      <c r="E62" s="1">
        <v>2</v>
      </c>
      <c r="F62" s="1">
        <v>2</v>
      </c>
      <c r="G62" s="1" t="s">
        <v>395</v>
      </c>
      <c r="H62" s="1" t="s">
        <v>396</v>
      </c>
      <c r="I62" s="1" t="s">
        <v>49</v>
      </c>
      <c r="J62" s="1" t="s">
        <v>42</v>
      </c>
      <c r="K62" s="1" t="s">
        <v>397</v>
      </c>
      <c r="L62" s="1" t="s">
        <v>398</v>
      </c>
      <c r="M62" s="1"/>
      <c r="N62" s="1"/>
      <c r="O62" s="1"/>
      <c r="T62">
        <v>1</v>
      </c>
      <c r="U62" t="s">
        <v>88</v>
      </c>
      <c r="V62">
        <v>1</v>
      </c>
    </row>
    <row r="63" spans="1:22" ht="188.25">
      <c r="A63" s="1" t="s">
        <v>95</v>
      </c>
      <c r="B63" s="1">
        <v>23800</v>
      </c>
      <c r="C63" s="1" t="s">
        <v>399</v>
      </c>
      <c r="D63" s="1" t="s">
        <v>400</v>
      </c>
      <c r="E63" s="1">
        <v>3</v>
      </c>
      <c r="F63" s="1">
        <v>3</v>
      </c>
      <c r="G63" s="1" t="s">
        <v>401</v>
      </c>
      <c r="H63" s="1" t="s">
        <v>396</v>
      </c>
      <c r="I63" s="1" t="s">
        <v>49</v>
      </c>
      <c r="J63" s="1" t="s">
        <v>35</v>
      </c>
      <c r="K63" s="1" t="s">
        <v>402</v>
      </c>
      <c r="L63" s="1" t="s">
        <v>403</v>
      </c>
      <c r="M63" s="1"/>
      <c r="N63" s="1"/>
      <c r="O63" s="1"/>
      <c r="T63">
        <v>1</v>
      </c>
      <c r="U63" t="s">
        <v>88</v>
      </c>
      <c r="V63">
        <v>1</v>
      </c>
    </row>
    <row r="64" spans="1:22" ht="188.25">
      <c r="A64" s="1" t="s">
        <v>95</v>
      </c>
      <c r="B64" s="1">
        <v>23941</v>
      </c>
      <c r="C64" s="1" t="s">
        <v>404</v>
      </c>
      <c r="D64" s="1" t="s">
        <v>405</v>
      </c>
      <c r="E64" s="1">
        <v>5</v>
      </c>
      <c r="F64" s="1">
        <v>4</v>
      </c>
      <c r="G64" s="1" t="s">
        <v>406</v>
      </c>
      <c r="H64" s="1" t="s">
        <v>128</v>
      </c>
      <c r="I64" s="1" t="s">
        <v>49</v>
      </c>
      <c r="J64" s="1" t="s">
        <v>35</v>
      </c>
      <c r="K64" s="1" t="s">
        <v>407</v>
      </c>
      <c r="L64" s="1" t="s">
        <v>408</v>
      </c>
      <c r="M64" s="1"/>
      <c r="N64" s="1"/>
      <c r="O64" s="1"/>
      <c r="T64">
        <v>1</v>
      </c>
      <c r="U64" t="s">
        <v>88</v>
      </c>
      <c r="V64">
        <v>1</v>
      </c>
    </row>
    <row r="65" spans="1:22" ht="188.25">
      <c r="A65" s="1" t="s">
        <v>95</v>
      </c>
      <c r="B65" s="1">
        <v>24039</v>
      </c>
      <c r="C65" s="1" t="s">
        <v>409</v>
      </c>
      <c r="D65" s="1" t="s">
        <v>410</v>
      </c>
      <c r="E65" s="1">
        <v>1</v>
      </c>
      <c r="F65" s="1">
        <v>1</v>
      </c>
      <c r="G65" s="1" t="s">
        <v>411</v>
      </c>
      <c r="H65" s="1" t="s">
        <v>411</v>
      </c>
      <c r="I65" s="1" t="s">
        <v>49</v>
      </c>
      <c r="J65" s="1" t="s">
        <v>42</v>
      </c>
      <c r="K65" s="1" t="s">
        <v>412</v>
      </c>
      <c r="L65" s="1" t="s">
        <v>413</v>
      </c>
      <c r="M65" s="1"/>
      <c r="N65" s="1"/>
      <c r="O65" s="1"/>
      <c r="T65">
        <v>1</v>
      </c>
      <c r="U65" t="s">
        <v>88</v>
      </c>
      <c r="V65">
        <v>0</v>
      </c>
    </row>
    <row r="66" spans="1:22" ht="201.75">
      <c r="A66" s="1" t="s">
        <v>95</v>
      </c>
      <c r="B66" s="1">
        <v>24255</v>
      </c>
      <c r="C66" s="1" t="s">
        <v>414</v>
      </c>
      <c r="D66" s="1" t="s">
        <v>415</v>
      </c>
      <c r="E66" s="1">
        <v>0</v>
      </c>
      <c r="F66" s="1">
        <v>0</v>
      </c>
      <c r="G66" s="1" t="s">
        <v>416</v>
      </c>
      <c r="H66" s="1" t="s">
        <v>417</v>
      </c>
      <c r="I66" s="1" t="s">
        <v>49</v>
      </c>
      <c r="J66" s="1" t="s">
        <v>26</v>
      </c>
      <c r="K66" s="1" t="s">
        <v>418</v>
      </c>
      <c r="L66" s="1" t="s">
        <v>419</v>
      </c>
      <c r="M66" s="1"/>
      <c r="N66" s="1"/>
      <c r="O66" s="1"/>
      <c r="T66">
        <v>1</v>
      </c>
      <c r="U66" t="s">
        <v>88</v>
      </c>
      <c r="V66">
        <v>1</v>
      </c>
    </row>
    <row r="67" spans="1:22" ht="188.25">
      <c r="A67" s="1" t="s">
        <v>95</v>
      </c>
      <c r="B67" s="1">
        <v>24269</v>
      </c>
      <c r="C67" s="1" t="s">
        <v>420</v>
      </c>
      <c r="D67" s="1" t="s">
        <v>421</v>
      </c>
      <c r="E67" s="1">
        <v>3</v>
      </c>
      <c r="F67" s="1">
        <v>3</v>
      </c>
      <c r="G67" s="1" t="s">
        <v>367</v>
      </c>
      <c r="H67" s="1" t="s">
        <v>367</v>
      </c>
      <c r="I67" s="1" t="s">
        <v>49</v>
      </c>
      <c r="J67" s="1" t="s">
        <v>35</v>
      </c>
      <c r="K67" s="1" t="s">
        <v>368</v>
      </c>
      <c r="L67" s="1" t="s">
        <v>422</v>
      </c>
      <c r="M67" s="1"/>
      <c r="N67" s="1"/>
      <c r="O67" s="1"/>
      <c r="T67">
        <v>1</v>
      </c>
      <c r="U67" t="s">
        <v>88</v>
      </c>
      <c r="V67">
        <v>0</v>
      </c>
    </row>
    <row r="68" spans="1:22" ht="130.5">
      <c r="A68" s="1" t="s">
        <v>95</v>
      </c>
      <c r="B68" s="1">
        <v>24604</v>
      </c>
      <c r="C68" s="1" t="s">
        <v>423</v>
      </c>
      <c r="D68" s="1" t="s">
        <v>424</v>
      </c>
      <c r="E68" s="1">
        <v>0</v>
      </c>
      <c r="F68" s="1">
        <v>0</v>
      </c>
      <c r="G68" s="1"/>
      <c r="H68" s="1"/>
      <c r="I68" s="1" t="s">
        <v>49</v>
      </c>
      <c r="J68" s="1" t="s">
        <v>26</v>
      </c>
      <c r="K68" s="1" t="s">
        <v>50</v>
      </c>
      <c r="L68" s="1" t="s">
        <v>425</v>
      </c>
      <c r="M68" s="1"/>
      <c r="N68" s="1"/>
      <c r="O68" s="1"/>
      <c r="T68">
        <v>0</v>
      </c>
      <c r="U68" t="s">
        <v>208</v>
      </c>
      <c r="V68">
        <v>1</v>
      </c>
    </row>
    <row r="69" spans="1:22" ht="130.5">
      <c r="A69" s="1" t="s">
        <v>95</v>
      </c>
      <c r="B69" s="1">
        <v>24617</v>
      </c>
      <c r="C69" s="1" t="s">
        <v>426</v>
      </c>
      <c r="D69" s="1" t="s">
        <v>427</v>
      </c>
      <c r="E69" s="1">
        <v>0</v>
      </c>
      <c r="F69" s="1">
        <v>0</v>
      </c>
      <c r="G69" s="1"/>
      <c r="H69" s="1"/>
      <c r="I69" s="1" t="s">
        <v>49</v>
      </c>
      <c r="J69" s="1" t="s">
        <v>26</v>
      </c>
      <c r="K69" s="1" t="s">
        <v>50</v>
      </c>
      <c r="L69" s="1" t="s">
        <v>428</v>
      </c>
      <c r="M69" s="1"/>
      <c r="N69" s="1"/>
      <c r="O69" s="1"/>
      <c r="T69">
        <v>1</v>
      </c>
      <c r="U69" t="s">
        <v>88</v>
      </c>
      <c r="V69">
        <v>1</v>
      </c>
    </row>
    <row r="70" spans="1:22" ht="115.5">
      <c r="A70" s="1" t="s">
        <v>95</v>
      </c>
      <c r="B70" s="1">
        <v>24725</v>
      </c>
      <c r="C70" s="1" t="s">
        <v>429</v>
      </c>
      <c r="D70" s="1" t="s">
        <v>430</v>
      </c>
      <c r="E70" s="1">
        <v>0</v>
      </c>
      <c r="F70" s="1">
        <v>0</v>
      </c>
      <c r="G70" s="1"/>
      <c r="H70" s="1"/>
      <c r="I70" s="1" t="s">
        <v>70</v>
      </c>
      <c r="J70" s="1" t="s">
        <v>26</v>
      </c>
      <c r="K70" s="1" t="s">
        <v>71</v>
      </c>
      <c r="L70" s="1" t="s">
        <v>431</v>
      </c>
      <c r="M70" s="1"/>
      <c r="N70" s="1"/>
      <c r="O70" s="1"/>
      <c r="T70">
        <v>1</v>
      </c>
      <c r="U70" t="s">
        <v>88</v>
      </c>
      <c r="V70">
        <v>1</v>
      </c>
    </row>
    <row r="71" spans="1:22" ht="115.5">
      <c r="A71" s="1" t="s">
        <v>95</v>
      </c>
      <c r="B71" s="1">
        <v>24853</v>
      </c>
      <c r="C71" s="1" t="s">
        <v>432</v>
      </c>
      <c r="D71" s="1" t="s">
        <v>433</v>
      </c>
      <c r="E71" s="1">
        <v>1</v>
      </c>
      <c r="F71" s="1">
        <v>1</v>
      </c>
      <c r="G71" s="1"/>
      <c r="H71" s="1"/>
      <c r="I71" s="1" t="s">
        <v>70</v>
      </c>
      <c r="J71" s="1" t="s">
        <v>42</v>
      </c>
      <c r="K71" s="1" t="s">
        <v>77</v>
      </c>
      <c r="L71" s="1" t="s">
        <v>434</v>
      </c>
      <c r="M71" s="1"/>
      <c r="N71" s="1"/>
      <c r="O71" s="1"/>
      <c r="T71">
        <v>1</v>
      </c>
      <c r="U71" t="s">
        <v>88</v>
      </c>
      <c r="V71">
        <v>1</v>
      </c>
    </row>
    <row r="72" spans="1:22" ht="115.5">
      <c r="A72" s="1" t="s">
        <v>95</v>
      </c>
      <c r="B72" s="1">
        <v>24956</v>
      </c>
      <c r="C72" s="1" t="s">
        <v>435</v>
      </c>
      <c r="D72" s="1" t="s">
        <v>436</v>
      </c>
      <c r="E72" s="1">
        <v>0</v>
      </c>
      <c r="F72" s="1">
        <v>0</v>
      </c>
      <c r="G72" s="1"/>
      <c r="H72" s="1"/>
      <c r="I72" s="1" t="s">
        <v>70</v>
      </c>
      <c r="J72" s="1" t="s">
        <v>26</v>
      </c>
      <c r="K72" s="1" t="s">
        <v>71</v>
      </c>
      <c r="L72" s="1" t="s">
        <v>437</v>
      </c>
      <c r="M72" s="1"/>
      <c r="N72" s="1"/>
      <c r="O72" s="1"/>
      <c r="T72">
        <v>1</v>
      </c>
      <c r="U72" t="s">
        <v>88</v>
      </c>
      <c r="V72">
        <v>0</v>
      </c>
    </row>
    <row r="73" spans="1:22" ht="174">
      <c r="A73" s="1" t="s">
        <v>95</v>
      </c>
      <c r="B73" s="1">
        <v>25506</v>
      </c>
      <c r="C73" s="1" t="s">
        <v>438</v>
      </c>
      <c r="D73" s="1" t="s">
        <v>439</v>
      </c>
      <c r="E73" s="1">
        <v>1</v>
      </c>
      <c r="F73" s="1">
        <v>1</v>
      </c>
      <c r="G73" s="1" t="s">
        <v>440</v>
      </c>
      <c r="H73" s="1" t="s">
        <v>358</v>
      </c>
      <c r="I73" s="1" t="s">
        <v>70</v>
      </c>
      <c r="J73" s="1" t="s">
        <v>42</v>
      </c>
      <c r="K73" s="1" t="s">
        <v>441</v>
      </c>
      <c r="L73" s="1" t="s">
        <v>442</v>
      </c>
      <c r="M73" s="1"/>
      <c r="N73" s="1"/>
      <c r="O73" s="1"/>
      <c r="T73">
        <v>1</v>
      </c>
      <c r="U73" t="s">
        <v>88</v>
      </c>
      <c r="V73">
        <v>1</v>
      </c>
    </row>
    <row r="74" spans="1:22" ht="174">
      <c r="A74" s="1" t="s">
        <v>95</v>
      </c>
      <c r="B74" s="1">
        <v>26164</v>
      </c>
      <c r="C74" s="1" t="s">
        <v>443</v>
      </c>
      <c r="D74" s="1" t="s">
        <v>444</v>
      </c>
      <c r="E74" s="1">
        <v>0</v>
      </c>
      <c r="F74" s="1">
        <v>0</v>
      </c>
      <c r="G74" s="1" t="s">
        <v>217</v>
      </c>
      <c r="H74" s="1" t="s">
        <v>217</v>
      </c>
      <c r="I74" s="1" t="s">
        <v>70</v>
      </c>
      <c r="J74" s="1" t="s">
        <v>26</v>
      </c>
      <c r="K74" s="1" t="s">
        <v>445</v>
      </c>
      <c r="L74" s="1" t="s">
        <v>446</v>
      </c>
      <c r="M74" s="1"/>
      <c r="N74" s="1"/>
      <c r="O74" s="1"/>
      <c r="T74">
        <v>1</v>
      </c>
      <c r="U74" t="s">
        <v>88</v>
      </c>
      <c r="V74">
        <v>0</v>
      </c>
    </row>
    <row r="75" spans="1:22" ht="159">
      <c r="A75" s="1" t="s">
        <v>95</v>
      </c>
      <c r="B75" s="1">
        <v>26180</v>
      </c>
      <c r="C75" s="1" t="s">
        <v>447</v>
      </c>
      <c r="D75" s="1" t="s">
        <v>448</v>
      </c>
      <c r="E75" s="1">
        <v>8</v>
      </c>
      <c r="F75" s="1">
        <v>4</v>
      </c>
      <c r="G75" s="1" t="s">
        <v>449</v>
      </c>
      <c r="H75" s="1" t="s">
        <v>449</v>
      </c>
      <c r="I75" s="1" t="s">
        <v>70</v>
      </c>
      <c r="J75" s="1" t="s">
        <v>35</v>
      </c>
      <c r="K75" s="1" t="s">
        <v>450</v>
      </c>
      <c r="L75" s="1" t="s">
        <v>451</v>
      </c>
      <c r="M75" s="1"/>
      <c r="N75" s="1"/>
      <c r="O75" s="1"/>
      <c r="T75">
        <v>1</v>
      </c>
      <c r="U75" t="s">
        <v>88</v>
      </c>
      <c r="V75">
        <v>1</v>
      </c>
    </row>
    <row r="76" spans="1:22" ht="174">
      <c r="A76" s="1" t="s">
        <v>95</v>
      </c>
      <c r="B76" s="1">
        <v>27343</v>
      </c>
      <c r="C76" s="1" t="s">
        <v>452</v>
      </c>
      <c r="D76" s="1" t="s">
        <v>453</v>
      </c>
      <c r="E76" s="1">
        <v>19</v>
      </c>
      <c r="F76" s="1">
        <v>10</v>
      </c>
      <c r="G76" s="1" t="s">
        <v>454</v>
      </c>
      <c r="H76" s="1" t="s">
        <v>278</v>
      </c>
      <c r="I76" s="1" t="s">
        <v>70</v>
      </c>
      <c r="J76" s="1" t="s">
        <v>35</v>
      </c>
      <c r="K76" s="1" t="s">
        <v>455</v>
      </c>
      <c r="L76" s="1" t="s">
        <v>456</v>
      </c>
      <c r="M76" s="1"/>
      <c r="N76" s="1"/>
      <c r="O76" s="1"/>
      <c r="T76">
        <v>1</v>
      </c>
      <c r="U76" t="s">
        <v>88</v>
      </c>
      <c r="V76">
        <v>1</v>
      </c>
    </row>
    <row r="77" spans="1:22" ht="159">
      <c r="A77" s="1" t="s">
        <v>95</v>
      </c>
      <c r="B77" s="1">
        <v>27344</v>
      </c>
      <c r="C77" s="1" t="s">
        <v>457</v>
      </c>
      <c r="D77" s="1" t="s">
        <v>458</v>
      </c>
      <c r="E77" s="1">
        <v>0</v>
      </c>
      <c r="F77" s="1">
        <v>0</v>
      </c>
      <c r="G77" s="1" t="s">
        <v>459</v>
      </c>
      <c r="H77" s="1" t="s">
        <v>449</v>
      </c>
      <c r="I77" s="1" t="s">
        <v>70</v>
      </c>
      <c r="J77" s="1" t="s">
        <v>26</v>
      </c>
      <c r="K77" s="1" t="s">
        <v>460</v>
      </c>
      <c r="L77" s="1" t="s">
        <v>461</v>
      </c>
      <c r="M77" s="1"/>
      <c r="N77" s="1"/>
      <c r="O77" s="1"/>
      <c r="T77">
        <v>1</v>
      </c>
      <c r="U77" t="s">
        <v>88</v>
      </c>
      <c r="V77">
        <v>0</v>
      </c>
    </row>
    <row r="78" spans="1:22" ht="174">
      <c r="A78" s="1" t="s">
        <v>95</v>
      </c>
      <c r="B78" s="1">
        <v>27805</v>
      </c>
      <c r="C78" s="1" t="s">
        <v>462</v>
      </c>
      <c r="D78" s="1" t="s">
        <v>463</v>
      </c>
      <c r="E78" s="1">
        <v>0</v>
      </c>
      <c r="F78" s="1">
        <v>0</v>
      </c>
      <c r="G78" s="1" t="s">
        <v>464</v>
      </c>
      <c r="H78" s="1" t="s">
        <v>465</v>
      </c>
      <c r="I78" s="1" t="s">
        <v>70</v>
      </c>
      <c r="J78" s="1" t="s">
        <v>26</v>
      </c>
      <c r="K78" s="1" t="s">
        <v>466</v>
      </c>
      <c r="L78" s="1" t="s">
        <v>467</v>
      </c>
      <c r="M78" s="1"/>
      <c r="N78" s="1"/>
      <c r="O78" s="1"/>
      <c r="T78">
        <v>0</v>
      </c>
      <c r="U78" t="s">
        <v>88</v>
      </c>
      <c r="V78">
        <v>0</v>
      </c>
    </row>
    <row r="79" spans="1:22" ht="174">
      <c r="A79" s="1" t="s">
        <v>95</v>
      </c>
      <c r="B79" s="1">
        <v>27935</v>
      </c>
      <c r="C79" s="1" t="s">
        <v>468</v>
      </c>
      <c r="D79" s="1" t="s">
        <v>469</v>
      </c>
      <c r="E79" s="1">
        <v>5</v>
      </c>
      <c r="F79" s="1">
        <v>2</v>
      </c>
      <c r="G79" s="1" t="s">
        <v>470</v>
      </c>
      <c r="H79" s="1" t="s">
        <v>471</v>
      </c>
      <c r="I79" s="1" t="s">
        <v>70</v>
      </c>
      <c r="J79" s="1" t="s">
        <v>35</v>
      </c>
      <c r="K79" s="1" t="s">
        <v>472</v>
      </c>
      <c r="L79" s="1" t="s">
        <v>473</v>
      </c>
      <c r="M79" s="1"/>
      <c r="N79" s="1"/>
      <c r="O79" s="1"/>
      <c r="T79">
        <v>1</v>
      </c>
      <c r="U79" t="s">
        <v>88</v>
      </c>
      <c r="V79">
        <v>1</v>
      </c>
    </row>
    <row r="80" spans="1:22" ht="174">
      <c r="A80" s="1" t="s">
        <v>95</v>
      </c>
      <c r="B80" s="1">
        <v>28073</v>
      </c>
      <c r="C80" s="1" t="s">
        <v>474</v>
      </c>
      <c r="D80" s="1" t="s">
        <v>475</v>
      </c>
      <c r="E80" s="1">
        <v>4</v>
      </c>
      <c r="F80" s="1">
        <v>2</v>
      </c>
      <c r="G80" s="1" t="s">
        <v>476</v>
      </c>
      <c r="H80" s="1" t="s">
        <v>477</v>
      </c>
      <c r="I80" s="1" t="s">
        <v>70</v>
      </c>
      <c r="J80" s="1" t="s">
        <v>35</v>
      </c>
      <c r="K80" s="1" t="s">
        <v>478</v>
      </c>
      <c r="L80" s="1" t="s">
        <v>479</v>
      </c>
      <c r="M80" s="1"/>
      <c r="N80" s="1"/>
      <c r="O80" s="1"/>
      <c r="T80">
        <v>0</v>
      </c>
      <c r="U80" t="s">
        <v>480</v>
      </c>
      <c r="V80">
        <v>0</v>
      </c>
    </row>
    <row r="81" spans="1:22" ht="115.5">
      <c r="A81" s="1" t="s">
        <v>95</v>
      </c>
      <c r="B81" s="1">
        <v>28457</v>
      </c>
      <c r="C81" s="1" t="s">
        <v>481</v>
      </c>
      <c r="D81" s="1" t="s">
        <v>482</v>
      </c>
      <c r="E81" s="1">
        <v>1</v>
      </c>
      <c r="F81" s="1">
        <v>1</v>
      </c>
      <c r="G81" s="1"/>
      <c r="H81" s="1"/>
      <c r="I81" s="1" t="s">
        <v>70</v>
      </c>
      <c r="J81" s="1" t="s">
        <v>42</v>
      </c>
      <c r="K81" s="1" t="s">
        <v>77</v>
      </c>
      <c r="L81" s="1" t="s">
        <v>483</v>
      </c>
      <c r="M81" s="1"/>
      <c r="N81" s="1"/>
      <c r="O81" s="1"/>
      <c r="T81">
        <v>0</v>
      </c>
      <c r="U81" t="s">
        <v>88</v>
      </c>
      <c r="V81">
        <v>0</v>
      </c>
    </row>
    <row r="82" spans="1:22" ht="188.25">
      <c r="A82" s="1" t="s">
        <v>95</v>
      </c>
      <c r="B82" s="1">
        <v>28738</v>
      </c>
      <c r="C82" s="1" t="s">
        <v>484</v>
      </c>
      <c r="D82" s="1" t="s">
        <v>485</v>
      </c>
      <c r="E82" s="1">
        <v>6</v>
      </c>
      <c r="F82" s="1">
        <v>2</v>
      </c>
      <c r="G82" s="1" t="s">
        <v>486</v>
      </c>
      <c r="H82" s="1" t="s">
        <v>487</v>
      </c>
      <c r="I82" s="1" t="s">
        <v>70</v>
      </c>
      <c r="J82" s="1" t="s">
        <v>35</v>
      </c>
      <c r="K82" s="1" t="s">
        <v>488</v>
      </c>
      <c r="L82" s="1" t="s">
        <v>489</v>
      </c>
      <c r="M82" s="1"/>
      <c r="N82" s="1"/>
      <c r="O82" s="1"/>
      <c r="T82">
        <v>1</v>
      </c>
      <c r="U82" t="s">
        <v>208</v>
      </c>
      <c r="V82">
        <v>0</v>
      </c>
    </row>
    <row r="83" spans="1:22" ht="174">
      <c r="A83" s="1" t="s">
        <v>95</v>
      </c>
      <c r="B83" s="1">
        <v>28792</v>
      </c>
      <c r="C83" s="1" t="s">
        <v>490</v>
      </c>
      <c r="D83" s="1" t="s">
        <v>491</v>
      </c>
      <c r="E83" s="1">
        <v>3</v>
      </c>
      <c r="F83" s="1">
        <v>2</v>
      </c>
      <c r="G83" s="1" t="s">
        <v>492</v>
      </c>
      <c r="H83" s="1" t="s">
        <v>493</v>
      </c>
      <c r="I83" s="1" t="s">
        <v>70</v>
      </c>
      <c r="J83" s="1" t="s">
        <v>35</v>
      </c>
      <c r="K83" s="1" t="s">
        <v>494</v>
      </c>
      <c r="L83" s="1" t="s">
        <v>495</v>
      </c>
      <c r="M83" s="1"/>
      <c r="N83" s="1"/>
      <c r="O83" s="1"/>
      <c r="T83">
        <v>1</v>
      </c>
      <c r="U83" t="s">
        <v>88</v>
      </c>
      <c r="V83">
        <v>1</v>
      </c>
    </row>
    <row r="84" spans="1:22" ht="174">
      <c r="A84" s="1" t="s">
        <v>95</v>
      </c>
      <c r="B84" s="1">
        <v>28993</v>
      </c>
      <c r="C84" s="1" t="s">
        <v>496</v>
      </c>
      <c r="D84" s="1" t="s">
        <v>497</v>
      </c>
      <c r="E84" s="1">
        <v>3</v>
      </c>
      <c r="F84" s="1">
        <v>2</v>
      </c>
      <c r="G84" s="1" t="s">
        <v>498</v>
      </c>
      <c r="H84" s="1" t="s">
        <v>128</v>
      </c>
      <c r="I84" s="1" t="s">
        <v>70</v>
      </c>
      <c r="J84" s="1" t="s">
        <v>35</v>
      </c>
      <c r="K84" s="1" t="s">
        <v>499</v>
      </c>
      <c r="L84" s="1" t="s">
        <v>500</v>
      </c>
      <c r="M84" s="1"/>
      <c r="N84" s="1"/>
      <c r="O84" s="1"/>
      <c r="T84">
        <v>1</v>
      </c>
      <c r="U84" t="s">
        <v>88</v>
      </c>
      <c r="V84">
        <v>1</v>
      </c>
    </row>
    <row r="85" spans="1:22" ht="174">
      <c r="A85" s="1" t="s">
        <v>95</v>
      </c>
      <c r="B85" s="1">
        <v>29033</v>
      </c>
      <c r="C85" s="1" t="s">
        <v>501</v>
      </c>
      <c r="D85" s="1" t="s">
        <v>502</v>
      </c>
      <c r="E85" s="1">
        <v>5</v>
      </c>
      <c r="F85" s="1">
        <v>3</v>
      </c>
      <c r="G85" s="1" t="s">
        <v>503</v>
      </c>
      <c r="H85" s="1" t="s">
        <v>114</v>
      </c>
      <c r="I85" s="1" t="s">
        <v>70</v>
      </c>
      <c r="J85" s="1" t="s">
        <v>35</v>
      </c>
      <c r="K85" s="1" t="s">
        <v>504</v>
      </c>
      <c r="L85" s="1" t="s">
        <v>505</v>
      </c>
      <c r="M85" s="1"/>
      <c r="N85" s="1"/>
      <c r="O85" s="1"/>
      <c r="T85">
        <v>1</v>
      </c>
      <c r="U85" t="s">
        <v>88</v>
      </c>
      <c r="V85">
        <v>1</v>
      </c>
    </row>
    <row r="86" spans="1:22" ht="115.5">
      <c r="A86" s="1" t="s">
        <v>95</v>
      </c>
      <c r="B86" s="1">
        <v>29099</v>
      </c>
      <c r="C86" s="1" t="s">
        <v>506</v>
      </c>
      <c r="D86" s="1" t="s">
        <v>507</v>
      </c>
      <c r="E86" s="1">
        <v>6</v>
      </c>
      <c r="F86" s="1">
        <v>2</v>
      </c>
      <c r="G86" s="1"/>
      <c r="H86" s="1"/>
      <c r="I86" s="1" t="s">
        <v>70</v>
      </c>
      <c r="J86" s="1" t="s">
        <v>35</v>
      </c>
      <c r="K86" s="1" t="s">
        <v>508</v>
      </c>
      <c r="L86" s="1" t="s">
        <v>509</v>
      </c>
      <c r="M86" s="1"/>
      <c r="N86" s="1"/>
      <c r="O86" s="1"/>
      <c r="T86">
        <v>1</v>
      </c>
      <c r="U86" t="s">
        <v>88</v>
      </c>
      <c r="V86">
        <v>1</v>
      </c>
    </row>
    <row r="87" spans="1:22" ht="188.25">
      <c r="A87" s="1" t="s">
        <v>95</v>
      </c>
      <c r="B87" s="1">
        <v>29101</v>
      </c>
      <c r="C87" s="1" t="s">
        <v>510</v>
      </c>
      <c r="D87" s="1" t="s">
        <v>511</v>
      </c>
      <c r="E87" s="1">
        <v>3</v>
      </c>
      <c r="F87" s="1">
        <v>2</v>
      </c>
      <c r="G87" s="1" t="s">
        <v>512</v>
      </c>
      <c r="H87" s="1" t="s">
        <v>513</v>
      </c>
      <c r="I87" s="1" t="s">
        <v>70</v>
      </c>
      <c r="J87" s="1" t="s">
        <v>35</v>
      </c>
      <c r="K87" s="1" t="s">
        <v>514</v>
      </c>
      <c r="L87" s="1" t="s">
        <v>515</v>
      </c>
      <c r="M87" s="1"/>
      <c r="N87" s="1"/>
      <c r="O87" s="1"/>
      <c r="T87">
        <v>1</v>
      </c>
      <c r="U87" t="s">
        <v>88</v>
      </c>
      <c r="V87">
        <v>1</v>
      </c>
    </row>
    <row r="88" spans="1:22" ht="174">
      <c r="A88" s="1" t="s">
        <v>95</v>
      </c>
      <c r="B88" s="1">
        <v>29179</v>
      </c>
      <c r="C88" s="1" t="s">
        <v>516</v>
      </c>
      <c r="D88" s="1" t="s">
        <v>517</v>
      </c>
      <c r="E88" s="1">
        <v>1</v>
      </c>
      <c r="F88" s="1">
        <v>1</v>
      </c>
      <c r="G88" s="1" t="s">
        <v>518</v>
      </c>
      <c r="H88" s="1" t="s">
        <v>313</v>
      </c>
      <c r="I88" s="1" t="s">
        <v>70</v>
      </c>
      <c r="J88" s="1" t="s">
        <v>42</v>
      </c>
      <c r="K88" s="1" t="s">
        <v>519</v>
      </c>
      <c r="L88" s="1" t="s">
        <v>520</v>
      </c>
      <c r="M88" s="1"/>
      <c r="N88" s="1"/>
      <c r="O88" s="1"/>
      <c r="T88">
        <v>1</v>
      </c>
      <c r="U88" t="s">
        <v>208</v>
      </c>
      <c r="V88">
        <v>0</v>
      </c>
    </row>
    <row r="89" spans="1:22" ht="174">
      <c r="A89" s="1" t="s">
        <v>95</v>
      </c>
      <c r="B89" s="1">
        <v>29287</v>
      </c>
      <c r="C89" s="1" t="s">
        <v>521</v>
      </c>
      <c r="D89" s="1" t="s">
        <v>522</v>
      </c>
      <c r="E89" s="1">
        <v>1</v>
      </c>
      <c r="F89" s="1">
        <v>1</v>
      </c>
      <c r="G89" s="1" t="s">
        <v>523</v>
      </c>
      <c r="H89" s="1" t="s">
        <v>523</v>
      </c>
      <c r="I89" s="1" t="s">
        <v>70</v>
      </c>
      <c r="J89" s="1" t="s">
        <v>42</v>
      </c>
      <c r="K89" s="1" t="s">
        <v>524</v>
      </c>
      <c r="L89" s="1" t="s">
        <v>525</v>
      </c>
      <c r="M89" s="1"/>
      <c r="N89" s="1"/>
      <c r="O89" s="1"/>
      <c r="T89">
        <v>1</v>
      </c>
      <c r="U89" t="s">
        <v>88</v>
      </c>
      <c r="V89">
        <v>1</v>
      </c>
    </row>
    <row r="90" spans="1:22" ht="174">
      <c r="A90" s="1" t="s">
        <v>95</v>
      </c>
      <c r="B90" s="1">
        <v>29362</v>
      </c>
      <c r="C90" s="1" t="s">
        <v>526</v>
      </c>
      <c r="D90" s="1" t="s">
        <v>527</v>
      </c>
      <c r="E90" s="1">
        <v>2</v>
      </c>
      <c r="F90" s="1">
        <v>2</v>
      </c>
      <c r="G90" s="1" t="s">
        <v>528</v>
      </c>
      <c r="H90" s="1" t="s">
        <v>528</v>
      </c>
      <c r="I90" s="1" t="s">
        <v>70</v>
      </c>
      <c r="J90" s="1" t="s">
        <v>42</v>
      </c>
      <c r="K90" s="1" t="s">
        <v>529</v>
      </c>
      <c r="L90" s="1" t="s">
        <v>530</v>
      </c>
      <c r="M90" s="1"/>
      <c r="N90" s="1"/>
      <c r="O90" s="1"/>
      <c r="T90">
        <v>1</v>
      </c>
      <c r="U90" t="s">
        <v>88</v>
      </c>
      <c r="V90">
        <v>1</v>
      </c>
    </row>
    <row r="91" spans="1:22" ht="159">
      <c r="A91" s="1" t="s">
        <v>95</v>
      </c>
      <c r="B91" s="1">
        <v>29417</v>
      </c>
      <c r="C91" s="1" t="s">
        <v>531</v>
      </c>
      <c r="D91" s="1" t="s">
        <v>532</v>
      </c>
      <c r="E91" s="1">
        <v>0</v>
      </c>
      <c r="F91" s="1">
        <v>0</v>
      </c>
      <c r="G91" s="1" t="s">
        <v>533</v>
      </c>
      <c r="H91" s="1" t="s">
        <v>56</v>
      </c>
      <c r="I91" s="1" t="s">
        <v>70</v>
      </c>
      <c r="J91" s="1" t="s">
        <v>26</v>
      </c>
      <c r="K91" s="1" t="s">
        <v>534</v>
      </c>
      <c r="L91" s="1" t="s">
        <v>535</v>
      </c>
      <c r="M91" s="1"/>
      <c r="N91" s="1"/>
      <c r="O91" s="1"/>
      <c r="T91">
        <v>1</v>
      </c>
      <c r="U91" t="s">
        <v>536</v>
      </c>
      <c r="V91">
        <v>0</v>
      </c>
    </row>
    <row r="92" spans="1:22" ht="174">
      <c r="A92" s="1" t="s">
        <v>95</v>
      </c>
      <c r="B92" s="1">
        <v>29928</v>
      </c>
      <c r="C92" s="1" t="s">
        <v>537</v>
      </c>
      <c r="D92" s="1" t="s">
        <v>538</v>
      </c>
      <c r="E92" s="1">
        <v>0</v>
      </c>
      <c r="F92" s="1">
        <v>0</v>
      </c>
      <c r="G92" s="1" t="s">
        <v>528</v>
      </c>
      <c r="H92" s="1" t="s">
        <v>528</v>
      </c>
      <c r="I92" s="1" t="s">
        <v>70</v>
      </c>
      <c r="J92" s="1" t="s">
        <v>26</v>
      </c>
      <c r="K92" s="1" t="s">
        <v>539</v>
      </c>
      <c r="L92" s="1" t="s">
        <v>540</v>
      </c>
      <c r="M92" s="1"/>
      <c r="N92" s="1"/>
      <c r="O92" s="1"/>
      <c r="T92">
        <v>1</v>
      </c>
      <c r="U92" t="s">
        <v>88</v>
      </c>
      <c r="V92">
        <v>1</v>
      </c>
    </row>
    <row r="93" spans="1:22" ht="174">
      <c r="A93" s="1" t="s">
        <v>95</v>
      </c>
      <c r="B93" s="1">
        <v>30362</v>
      </c>
      <c r="C93" s="1" t="s">
        <v>541</v>
      </c>
      <c r="D93" s="1" t="s">
        <v>542</v>
      </c>
      <c r="E93" s="1">
        <v>1</v>
      </c>
      <c r="F93" s="1">
        <v>1</v>
      </c>
      <c r="G93" s="1" t="s">
        <v>543</v>
      </c>
      <c r="H93" s="1" t="s">
        <v>465</v>
      </c>
      <c r="I93" s="1" t="s">
        <v>70</v>
      </c>
      <c r="J93" s="1" t="s">
        <v>42</v>
      </c>
      <c r="K93" s="1" t="s">
        <v>544</v>
      </c>
      <c r="L93" s="1" t="s">
        <v>545</v>
      </c>
      <c r="M93" s="1"/>
      <c r="N93" s="1"/>
      <c r="O93" s="1"/>
      <c r="T93">
        <v>1</v>
      </c>
      <c r="U93" t="s">
        <v>88</v>
      </c>
      <c r="V93">
        <v>1</v>
      </c>
    </row>
    <row r="94" spans="1:22" ht="159">
      <c r="A94" s="1" t="s">
        <v>95</v>
      </c>
      <c r="B94" s="1">
        <v>30858</v>
      </c>
      <c r="C94" s="1" t="s">
        <v>546</v>
      </c>
      <c r="D94" s="1" t="s">
        <v>547</v>
      </c>
      <c r="E94" s="1">
        <v>1</v>
      </c>
      <c r="F94" s="1">
        <v>1</v>
      </c>
      <c r="G94" s="1" t="s">
        <v>548</v>
      </c>
      <c r="H94" s="1" t="s">
        <v>549</v>
      </c>
      <c r="I94" s="1" t="s">
        <v>70</v>
      </c>
      <c r="J94" s="1" t="s">
        <v>42</v>
      </c>
      <c r="K94" s="1" t="s">
        <v>550</v>
      </c>
      <c r="L94" s="1" t="s">
        <v>551</v>
      </c>
      <c r="M94" s="1"/>
      <c r="N94" s="1"/>
      <c r="O94" s="1"/>
      <c r="T94">
        <v>1</v>
      </c>
      <c r="U94" t="s">
        <v>88</v>
      </c>
      <c r="V94">
        <v>1</v>
      </c>
    </row>
    <row r="95" spans="1:22" ht="174">
      <c r="A95" s="1" t="s">
        <v>95</v>
      </c>
      <c r="B95" s="1">
        <v>31343</v>
      </c>
      <c r="C95" s="1" t="s">
        <v>552</v>
      </c>
      <c r="D95" s="1" t="s">
        <v>553</v>
      </c>
      <c r="E95" s="1">
        <v>0</v>
      </c>
      <c r="F95" s="1">
        <v>0</v>
      </c>
      <c r="G95" s="1" t="s">
        <v>554</v>
      </c>
      <c r="H95" s="1" t="s">
        <v>367</v>
      </c>
      <c r="I95" s="1" t="s">
        <v>70</v>
      </c>
      <c r="J95" s="1" t="s">
        <v>26</v>
      </c>
      <c r="K95" s="1" t="s">
        <v>555</v>
      </c>
      <c r="L95" s="1" t="s">
        <v>556</v>
      </c>
      <c r="M95" s="1"/>
      <c r="N95" s="1"/>
      <c r="O95" s="1"/>
      <c r="T95">
        <v>0</v>
      </c>
      <c r="U95" t="s">
        <v>208</v>
      </c>
      <c r="V95">
        <v>1</v>
      </c>
    </row>
    <row r="96" spans="1:22" ht="159">
      <c r="A96" s="1" t="s">
        <v>95</v>
      </c>
      <c r="B96" s="1">
        <v>31372</v>
      </c>
      <c r="C96" s="1" t="s">
        <v>557</v>
      </c>
      <c r="D96" s="1" t="s">
        <v>558</v>
      </c>
      <c r="E96" s="1">
        <v>0</v>
      </c>
      <c r="F96" s="1">
        <v>0</v>
      </c>
      <c r="G96" s="1" t="s">
        <v>559</v>
      </c>
      <c r="H96" s="1" t="s">
        <v>56</v>
      </c>
      <c r="I96" s="1" t="s">
        <v>70</v>
      </c>
      <c r="J96" s="1" t="s">
        <v>26</v>
      </c>
      <c r="K96" s="1" t="s">
        <v>534</v>
      </c>
      <c r="L96" s="1" t="s">
        <v>560</v>
      </c>
      <c r="M96" s="1"/>
      <c r="N96" s="1"/>
      <c r="O96" s="1"/>
      <c r="T96">
        <v>1</v>
      </c>
      <c r="U96" t="s">
        <v>88</v>
      </c>
      <c r="V96">
        <v>0</v>
      </c>
    </row>
    <row r="97" spans="1:22" ht="188.25">
      <c r="A97" s="1" t="s">
        <v>95</v>
      </c>
      <c r="B97" s="1">
        <v>31615</v>
      </c>
      <c r="C97" s="1" t="s">
        <v>561</v>
      </c>
      <c r="D97" s="1" t="s">
        <v>562</v>
      </c>
      <c r="E97" s="1">
        <v>0</v>
      </c>
      <c r="F97" s="1">
        <v>0</v>
      </c>
      <c r="G97" s="1" t="s">
        <v>248</v>
      </c>
      <c r="H97" s="1" t="s">
        <v>248</v>
      </c>
      <c r="I97" s="1" t="s">
        <v>70</v>
      </c>
      <c r="J97" s="1" t="s">
        <v>26</v>
      </c>
      <c r="K97" s="1" t="s">
        <v>563</v>
      </c>
      <c r="L97" s="1" t="s">
        <v>564</v>
      </c>
      <c r="M97" s="1"/>
      <c r="N97" s="1"/>
      <c r="O97" s="1"/>
      <c r="T97">
        <v>0</v>
      </c>
      <c r="U97" t="s">
        <v>88</v>
      </c>
      <c r="V97">
        <v>0</v>
      </c>
    </row>
    <row r="98" spans="1:22" ht="159">
      <c r="A98" s="1" t="s">
        <v>95</v>
      </c>
      <c r="B98" s="1">
        <v>31621</v>
      </c>
      <c r="C98" s="1" t="s">
        <v>565</v>
      </c>
      <c r="D98" s="1" t="s">
        <v>566</v>
      </c>
      <c r="E98" s="1">
        <v>1</v>
      </c>
      <c r="F98" s="1">
        <v>1</v>
      </c>
      <c r="G98" s="1" t="s">
        <v>567</v>
      </c>
      <c r="H98" s="1" t="s">
        <v>567</v>
      </c>
      <c r="I98" s="1" t="s">
        <v>70</v>
      </c>
      <c r="J98" s="1" t="s">
        <v>42</v>
      </c>
      <c r="K98" s="1" t="s">
        <v>568</v>
      </c>
      <c r="L98" s="1" t="s">
        <v>569</v>
      </c>
      <c r="M98" s="1"/>
      <c r="N98" s="1"/>
      <c r="O98" s="1"/>
      <c r="T98">
        <v>1</v>
      </c>
      <c r="U98" t="s">
        <v>88</v>
      </c>
      <c r="V98">
        <v>1</v>
      </c>
    </row>
    <row r="99" spans="1:22" ht="174">
      <c r="A99" s="1" t="s">
        <v>570</v>
      </c>
      <c r="B99" s="1">
        <v>211</v>
      </c>
      <c r="C99" s="1" t="s">
        <v>571</v>
      </c>
      <c r="D99" s="1" t="s">
        <v>572</v>
      </c>
      <c r="E99" s="1">
        <v>8</v>
      </c>
      <c r="F99" s="1">
        <v>3</v>
      </c>
      <c r="G99" s="1" t="s">
        <v>56</v>
      </c>
      <c r="H99" s="1" t="s">
        <v>56</v>
      </c>
      <c r="I99" s="1" t="s">
        <v>25</v>
      </c>
      <c r="J99" s="1" t="s">
        <v>35</v>
      </c>
      <c r="K99" s="1" t="s">
        <v>285</v>
      </c>
      <c r="L99" s="1" t="s">
        <v>573</v>
      </c>
      <c r="M99" s="1"/>
      <c r="N99" s="1"/>
      <c r="O99" s="1"/>
      <c r="T99">
        <v>1</v>
      </c>
      <c r="U99" t="s">
        <v>88</v>
      </c>
      <c r="V99">
        <v>1</v>
      </c>
    </row>
    <row r="100" spans="1:22" ht="174">
      <c r="A100" s="1" t="s">
        <v>570</v>
      </c>
      <c r="B100" s="1">
        <v>233</v>
      </c>
      <c r="C100" s="1" t="s">
        <v>574</v>
      </c>
      <c r="D100" s="1" t="s">
        <v>575</v>
      </c>
      <c r="E100" s="1">
        <v>2</v>
      </c>
      <c r="F100" s="1">
        <v>1</v>
      </c>
      <c r="G100" s="1" t="s">
        <v>576</v>
      </c>
      <c r="H100" s="1" t="s">
        <v>576</v>
      </c>
      <c r="I100" s="1" t="s">
        <v>25</v>
      </c>
      <c r="J100" s="1" t="s">
        <v>42</v>
      </c>
      <c r="K100" s="1" t="s">
        <v>577</v>
      </c>
      <c r="L100" s="1" t="s">
        <v>578</v>
      </c>
      <c r="M100" s="1"/>
      <c r="N100" s="1"/>
      <c r="O100" s="1"/>
      <c r="T100">
        <v>1</v>
      </c>
      <c r="U100" t="s">
        <v>208</v>
      </c>
      <c r="V100">
        <v>0</v>
      </c>
    </row>
    <row r="101" spans="1:22" ht="130.5">
      <c r="A101" s="1" t="s">
        <v>570</v>
      </c>
      <c r="B101" s="1">
        <v>320</v>
      </c>
      <c r="C101" s="1" t="s">
        <v>579</v>
      </c>
      <c r="D101" s="1" t="s">
        <v>580</v>
      </c>
      <c r="E101" s="1">
        <v>16</v>
      </c>
      <c r="F101" s="1">
        <v>5</v>
      </c>
      <c r="G101" s="1"/>
      <c r="H101" s="1"/>
      <c r="I101" s="1" t="s">
        <v>25</v>
      </c>
      <c r="J101" s="1" t="s">
        <v>35</v>
      </c>
      <c r="K101" s="1" t="s">
        <v>36</v>
      </c>
      <c r="L101" s="1" t="s">
        <v>581</v>
      </c>
      <c r="M101" s="1"/>
      <c r="N101" s="1"/>
      <c r="O101" s="1"/>
      <c r="T101">
        <v>1</v>
      </c>
      <c r="U101" t="s">
        <v>88</v>
      </c>
      <c r="V101">
        <v>1</v>
      </c>
    </row>
    <row r="102" spans="1:22" ht="130.5">
      <c r="A102" s="1" t="s">
        <v>570</v>
      </c>
      <c r="B102" s="1">
        <v>379</v>
      </c>
      <c r="C102" s="1" t="s">
        <v>582</v>
      </c>
      <c r="D102" s="1" t="s">
        <v>583</v>
      </c>
      <c r="E102" s="1">
        <v>2</v>
      </c>
      <c r="F102" s="1">
        <v>2</v>
      </c>
      <c r="G102" s="1"/>
      <c r="H102" s="1"/>
      <c r="I102" s="1" t="s">
        <v>25</v>
      </c>
      <c r="J102" s="1" t="s">
        <v>42</v>
      </c>
      <c r="K102" s="1" t="s">
        <v>43</v>
      </c>
      <c r="L102" s="1" t="s">
        <v>584</v>
      </c>
      <c r="M102" s="1"/>
      <c r="N102" s="1"/>
      <c r="O102" s="1"/>
    </row>
    <row r="103" spans="1:22" ht="174">
      <c r="A103" s="1" t="s">
        <v>570</v>
      </c>
      <c r="B103" s="1">
        <v>383</v>
      </c>
      <c r="C103" s="1" t="s">
        <v>585</v>
      </c>
      <c r="D103" s="1" t="s">
        <v>586</v>
      </c>
      <c r="E103" s="1">
        <v>0</v>
      </c>
      <c r="F103" s="1">
        <v>0</v>
      </c>
      <c r="G103" s="1" t="s">
        <v>587</v>
      </c>
      <c r="H103" s="1" t="s">
        <v>587</v>
      </c>
      <c r="I103" s="1" t="s">
        <v>25</v>
      </c>
      <c r="J103" s="1" t="s">
        <v>26</v>
      </c>
      <c r="K103" s="1" t="s">
        <v>588</v>
      </c>
      <c r="L103" s="1" t="s">
        <v>589</v>
      </c>
      <c r="M103" s="1"/>
      <c r="N103" s="1"/>
      <c r="O103" s="1"/>
    </row>
    <row r="104" spans="1:22" ht="188.25">
      <c r="A104" s="1" t="s">
        <v>570</v>
      </c>
      <c r="B104" s="1">
        <v>547</v>
      </c>
      <c r="C104" s="1" t="s">
        <v>590</v>
      </c>
      <c r="D104" s="1" t="s">
        <v>591</v>
      </c>
      <c r="E104" s="1">
        <v>3</v>
      </c>
      <c r="F104" s="1">
        <v>3</v>
      </c>
      <c r="G104" s="1" t="s">
        <v>592</v>
      </c>
      <c r="H104" s="1" t="s">
        <v>592</v>
      </c>
      <c r="I104" s="1" t="s">
        <v>49</v>
      </c>
      <c r="J104" s="1" t="s">
        <v>42</v>
      </c>
      <c r="K104" s="1" t="s">
        <v>593</v>
      </c>
      <c r="L104" s="1" t="s">
        <v>594</v>
      </c>
      <c r="M104" s="1"/>
      <c r="N104" s="1"/>
      <c r="O104" s="1"/>
    </row>
    <row r="105" spans="1:22" ht="188.25">
      <c r="A105" s="1" t="s">
        <v>570</v>
      </c>
      <c r="B105" s="1">
        <v>574</v>
      </c>
      <c r="C105" s="1" t="s">
        <v>595</v>
      </c>
      <c r="D105" s="1" t="s">
        <v>596</v>
      </c>
      <c r="E105" s="1">
        <v>1</v>
      </c>
      <c r="F105" s="1">
        <v>1</v>
      </c>
      <c r="G105" s="1" t="s">
        <v>597</v>
      </c>
      <c r="H105" s="1" t="s">
        <v>465</v>
      </c>
      <c r="I105" s="1" t="s">
        <v>49</v>
      </c>
      <c r="J105" s="1" t="s">
        <v>26</v>
      </c>
      <c r="K105" s="1" t="s">
        <v>598</v>
      </c>
      <c r="L105" s="1" t="s">
        <v>599</v>
      </c>
      <c r="M105" s="1"/>
      <c r="N105" s="1"/>
      <c r="O105" s="1"/>
    </row>
    <row r="106" spans="1:22" ht="188.25">
      <c r="A106" s="1" t="s">
        <v>570</v>
      </c>
      <c r="B106" s="1">
        <v>655</v>
      </c>
      <c r="C106" s="1" t="s">
        <v>600</v>
      </c>
      <c r="D106" s="1" t="s">
        <v>601</v>
      </c>
      <c r="E106" s="1">
        <v>0</v>
      </c>
      <c r="F106" s="1">
        <v>0</v>
      </c>
      <c r="G106" s="1" t="s">
        <v>465</v>
      </c>
      <c r="H106" s="1" t="s">
        <v>465</v>
      </c>
      <c r="I106" s="1" t="s">
        <v>49</v>
      </c>
      <c r="J106" s="1" t="s">
        <v>26</v>
      </c>
      <c r="K106" s="1" t="s">
        <v>598</v>
      </c>
      <c r="L106" s="1" t="s">
        <v>602</v>
      </c>
      <c r="M106" s="1"/>
      <c r="N106" s="1"/>
      <c r="O106" s="1"/>
    </row>
    <row r="107" spans="1:22" ht="174">
      <c r="A107" s="1" t="s">
        <v>570</v>
      </c>
      <c r="B107" s="1">
        <v>659</v>
      </c>
      <c r="C107" s="1" t="s">
        <v>603</v>
      </c>
      <c r="D107" s="1" t="s">
        <v>604</v>
      </c>
      <c r="E107" s="1">
        <v>25</v>
      </c>
      <c r="F107" s="1">
        <v>6</v>
      </c>
      <c r="G107" s="1" t="s">
        <v>56</v>
      </c>
      <c r="H107" s="1" t="s">
        <v>56</v>
      </c>
      <c r="I107" s="1" t="s">
        <v>49</v>
      </c>
      <c r="J107" s="1" t="s">
        <v>35</v>
      </c>
      <c r="K107" s="1" t="s">
        <v>57</v>
      </c>
      <c r="L107" s="1" t="s">
        <v>605</v>
      </c>
      <c r="M107" s="1"/>
      <c r="N107" s="1"/>
      <c r="O107" s="1"/>
    </row>
    <row r="108" spans="1:22" ht="174">
      <c r="A108" s="1" t="s">
        <v>570</v>
      </c>
      <c r="B108" s="1">
        <v>671</v>
      </c>
      <c r="C108" s="1" t="s">
        <v>606</v>
      </c>
      <c r="D108" s="1" t="s">
        <v>607</v>
      </c>
      <c r="E108" s="1">
        <v>5</v>
      </c>
      <c r="F108" s="1">
        <v>4</v>
      </c>
      <c r="G108" s="1" t="s">
        <v>608</v>
      </c>
      <c r="H108" s="1" t="s">
        <v>56</v>
      </c>
      <c r="I108" s="1" t="s">
        <v>49</v>
      </c>
      <c r="J108" s="1" t="s">
        <v>35</v>
      </c>
      <c r="K108" s="1" t="s">
        <v>57</v>
      </c>
      <c r="L108" s="1" t="s">
        <v>609</v>
      </c>
      <c r="M108" s="1"/>
      <c r="N108" s="1"/>
      <c r="O108" s="1"/>
    </row>
    <row r="109" spans="1:22" ht="174">
      <c r="A109" s="1" t="s">
        <v>570</v>
      </c>
      <c r="B109" s="1">
        <v>829</v>
      </c>
      <c r="C109" s="1" t="s">
        <v>610</v>
      </c>
      <c r="D109" s="1" t="s">
        <v>611</v>
      </c>
      <c r="E109" s="1">
        <v>5</v>
      </c>
      <c r="F109" s="1">
        <v>3</v>
      </c>
      <c r="G109" s="1" t="s">
        <v>465</v>
      </c>
      <c r="H109" s="1" t="s">
        <v>465</v>
      </c>
      <c r="I109" s="1" t="s">
        <v>70</v>
      </c>
      <c r="J109" s="1" t="s">
        <v>35</v>
      </c>
      <c r="K109" s="1" t="s">
        <v>612</v>
      </c>
      <c r="L109" s="1" t="s">
        <v>613</v>
      </c>
      <c r="M109" s="1"/>
      <c r="N109" s="1"/>
      <c r="O109" s="1"/>
    </row>
    <row r="110" spans="1:22" ht="159">
      <c r="A110" s="1" t="s">
        <v>570</v>
      </c>
      <c r="B110" s="1">
        <v>851</v>
      </c>
      <c r="C110" s="1" t="s">
        <v>614</v>
      </c>
      <c r="D110" s="1" t="s">
        <v>615</v>
      </c>
      <c r="E110" s="1">
        <v>0</v>
      </c>
      <c r="F110" s="1">
        <v>0</v>
      </c>
      <c r="G110" s="1" t="s">
        <v>56</v>
      </c>
      <c r="H110" s="1" t="s">
        <v>56</v>
      </c>
      <c r="I110" s="1" t="s">
        <v>70</v>
      </c>
      <c r="J110" s="1" t="s">
        <v>26</v>
      </c>
      <c r="K110" s="1" t="s">
        <v>534</v>
      </c>
      <c r="L110" s="1" t="s">
        <v>616</v>
      </c>
      <c r="M110" s="1"/>
      <c r="N110" s="1"/>
      <c r="O110" s="1"/>
    </row>
    <row r="111" spans="1:22" ht="159">
      <c r="A111" s="1" t="s">
        <v>570</v>
      </c>
      <c r="B111" s="1">
        <v>880</v>
      </c>
      <c r="C111" s="1" t="s">
        <v>617</v>
      </c>
      <c r="D111" s="1" t="s">
        <v>618</v>
      </c>
      <c r="E111" s="1">
        <v>5</v>
      </c>
      <c r="F111" s="1">
        <v>2</v>
      </c>
      <c r="G111" s="1" t="s">
        <v>576</v>
      </c>
      <c r="H111" s="1" t="s">
        <v>576</v>
      </c>
      <c r="I111" s="1" t="s">
        <v>70</v>
      </c>
      <c r="J111" s="1" t="s">
        <v>35</v>
      </c>
      <c r="K111" s="1" t="s">
        <v>619</v>
      </c>
      <c r="L111" s="1" t="s">
        <v>620</v>
      </c>
      <c r="M111" s="1"/>
      <c r="N111" s="1"/>
      <c r="O111" s="1"/>
    </row>
    <row r="112" spans="1:22" ht="174">
      <c r="A112" s="1" t="s">
        <v>570</v>
      </c>
      <c r="B112" s="1">
        <v>1012</v>
      </c>
      <c r="C112" s="1" t="s">
        <v>621</v>
      </c>
      <c r="D112" s="1" t="s">
        <v>622</v>
      </c>
      <c r="E112" s="1">
        <v>1</v>
      </c>
      <c r="F112" s="1">
        <v>1</v>
      </c>
      <c r="G112" s="1" t="s">
        <v>592</v>
      </c>
      <c r="H112" s="1" t="s">
        <v>592</v>
      </c>
      <c r="I112" s="1" t="s">
        <v>70</v>
      </c>
      <c r="J112" s="1" t="s">
        <v>42</v>
      </c>
      <c r="K112" s="1" t="s">
        <v>623</v>
      </c>
      <c r="L112" s="1" t="s">
        <v>624</v>
      </c>
      <c r="M112" s="1"/>
      <c r="N112" s="1"/>
      <c r="O112" s="1"/>
    </row>
    <row r="113" spans="1:15" ht="174">
      <c r="A113" s="1" t="s">
        <v>570</v>
      </c>
      <c r="B113" s="1">
        <v>1239</v>
      </c>
      <c r="C113" s="1" t="s">
        <v>625</v>
      </c>
      <c r="D113" s="1" t="s">
        <v>626</v>
      </c>
      <c r="E113" s="1">
        <v>0</v>
      </c>
      <c r="F113" s="1">
        <v>0</v>
      </c>
      <c r="G113" s="1" t="s">
        <v>465</v>
      </c>
      <c r="H113" s="1" t="s">
        <v>465</v>
      </c>
      <c r="I113" s="1" t="s">
        <v>70</v>
      </c>
      <c r="J113" s="1" t="s">
        <v>26</v>
      </c>
      <c r="K113" s="1" t="s">
        <v>466</v>
      </c>
      <c r="L113" s="1" t="s">
        <v>627</v>
      </c>
      <c r="M113" s="1"/>
      <c r="N113" s="1"/>
      <c r="O113" s="1"/>
    </row>
    <row r="114" spans="1:15" ht="130.5">
      <c r="A114" s="1" t="s">
        <v>628</v>
      </c>
      <c r="B114" s="1">
        <v>4</v>
      </c>
      <c r="C114" s="1" t="s">
        <v>629</v>
      </c>
      <c r="D114" s="1" t="s">
        <v>630</v>
      </c>
      <c r="E114" s="1">
        <v>0</v>
      </c>
      <c r="F114" s="1">
        <v>0</v>
      </c>
      <c r="G114" s="1"/>
      <c r="H114" s="1"/>
      <c r="I114" s="1" t="s">
        <v>25</v>
      </c>
      <c r="J114" s="1" t="s">
        <v>26</v>
      </c>
      <c r="K114" s="1" t="s">
        <v>27</v>
      </c>
      <c r="L114" s="1" t="s">
        <v>631</v>
      </c>
      <c r="M114" s="1"/>
      <c r="N114" s="1"/>
      <c r="O114" s="1"/>
    </row>
    <row r="115" spans="1:15" ht="130.5">
      <c r="A115" s="1" t="s">
        <v>628</v>
      </c>
      <c r="B115" s="1">
        <v>61</v>
      </c>
      <c r="C115" s="1" t="s">
        <v>632</v>
      </c>
      <c r="D115" s="1" t="s">
        <v>633</v>
      </c>
      <c r="E115" s="1">
        <v>3</v>
      </c>
      <c r="F115" s="1">
        <v>3</v>
      </c>
      <c r="G115" s="1"/>
      <c r="H115" s="1"/>
      <c r="I115" s="1" t="s">
        <v>25</v>
      </c>
      <c r="J115" s="1" t="s">
        <v>35</v>
      </c>
      <c r="K115" s="1" t="s">
        <v>36</v>
      </c>
      <c r="L115" s="1" t="s">
        <v>634</v>
      </c>
      <c r="M115" s="1"/>
      <c r="N115" s="1"/>
      <c r="O115" s="1"/>
    </row>
    <row r="116" spans="1:15" ht="188.25">
      <c r="A116" s="1" t="s">
        <v>628</v>
      </c>
      <c r="B116" s="1">
        <v>100</v>
      </c>
      <c r="C116" s="1" t="s">
        <v>635</v>
      </c>
      <c r="D116" s="1" t="s">
        <v>636</v>
      </c>
      <c r="E116" s="1">
        <v>1</v>
      </c>
      <c r="F116" s="1">
        <v>1</v>
      </c>
      <c r="G116" s="1" t="s">
        <v>465</v>
      </c>
      <c r="H116" s="1" t="s">
        <v>465</v>
      </c>
      <c r="I116" s="1" t="s">
        <v>25</v>
      </c>
      <c r="J116" s="1" t="s">
        <v>42</v>
      </c>
      <c r="K116" s="1" t="s">
        <v>637</v>
      </c>
      <c r="L116" s="1" t="s">
        <v>638</v>
      </c>
      <c r="M116" s="1"/>
      <c r="N116" s="1"/>
      <c r="O116" s="1"/>
    </row>
    <row r="117" spans="1:15" ht="188.25">
      <c r="A117" s="1" t="s">
        <v>628</v>
      </c>
      <c r="B117" s="1">
        <v>137</v>
      </c>
      <c r="C117" s="1" t="s">
        <v>639</v>
      </c>
      <c r="D117" s="1" t="s">
        <v>640</v>
      </c>
      <c r="E117" s="1">
        <v>1</v>
      </c>
      <c r="F117" s="1">
        <v>1</v>
      </c>
      <c r="G117" s="1" t="s">
        <v>465</v>
      </c>
      <c r="H117" s="1" t="s">
        <v>465</v>
      </c>
      <c r="I117" s="1" t="s">
        <v>49</v>
      </c>
      <c r="J117" s="1" t="s">
        <v>42</v>
      </c>
      <c r="K117" s="1" t="s">
        <v>641</v>
      </c>
      <c r="L117" s="1" t="s">
        <v>642</v>
      </c>
      <c r="M117" s="1"/>
      <c r="N117" s="1"/>
      <c r="O117" s="1"/>
    </row>
    <row r="118" spans="1:15" ht="188.25">
      <c r="A118" s="1" t="s">
        <v>628</v>
      </c>
      <c r="B118" s="1">
        <v>157</v>
      </c>
      <c r="C118" s="1" t="s">
        <v>643</v>
      </c>
      <c r="D118" s="1" t="s">
        <v>644</v>
      </c>
      <c r="E118" s="1">
        <v>0</v>
      </c>
      <c r="F118" s="1">
        <v>0</v>
      </c>
      <c r="G118" s="1" t="s">
        <v>465</v>
      </c>
      <c r="H118" s="1" t="s">
        <v>465</v>
      </c>
      <c r="I118" s="1" t="s">
        <v>49</v>
      </c>
      <c r="J118" s="1" t="s">
        <v>26</v>
      </c>
      <c r="K118" s="1" t="s">
        <v>598</v>
      </c>
      <c r="L118" s="1" t="s">
        <v>645</v>
      </c>
      <c r="M118" s="1"/>
      <c r="N118" s="1"/>
      <c r="O118" s="1"/>
    </row>
    <row r="119" spans="1:15" ht="174">
      <c r="A119" s="1" t="s">
        <v>628</v>
      </c>
      <c r="B119" s="1">
        <v>226</v>
      </c>
      <c r="C119" s="1" t="s">
        <v>646</v>
      </c>
      <c r="D119" s="1" t="s">
        <v>647</v>
      </c>
      <c r="E119" s="1">
        <v>0</v>
      </c>
      <c r="F119" s="1">
        <v>0</v>
      </c>
      <c r="G119" s="1" t="s">
        <v>465</v>
      </c>
      <c r="H119" s="1" t="s">
        <v>465</v>
      </c>
      <c r="I119" s="1" t="s">
        <v>70</v>
      </c>
      <c r="J119" s="1" t="s">
        <v>26</v>
      </c>
      <c r="K119" s="1" t="s">
        <v>466</v>
      </c>
      <c r="L119" s="1" t="s">
        <v>648</v>
      </c>
      <c r="M119" s="1"/>
      <c r="N119" s="1"/>
      <c r="O119" s="1"/>
    </row>
    <row r="120" spans="1:15" ht="174">
      <c r="A120" s="1" t="s">
        <v>628</v>
      </c>
      <c r="B120" s="1">
        <v>254</v>
      </c>
      <c r="C120" s="1" t="s">
        <v>649</v>
      </c>
      <c r="D120" s="1" t="s">
        <v>650</v>
      </c>
      <c r="E120" s="1">
        <v>0</v>
      </c>
      <c r="F120" s="1">
        <v>0</v>
      </c>
      <c r="G120" s="1" t="s">
        <v>592</v>
      </c>
      <c r="H120" s="1" t="s">
        <v>592</v>
      </c>
      <c r="I120" s="1" t="s">
        <v>70</v>
      </c>
      <c r="J120" s="1" t="s">
        <v>42</v>
      </c>
      <c r="K120" s="1" t="s">
        <v>623</v>
      </c>
      <c r="L120" s="1" t="s">
        <v>651</v>
      </c>
      <c r="M120" s="1"/>
      <c r="N120" s="1"/>
      <c r="O120" s="1"/>
    </row>
    <row r="121" spans="1:15" ht="188.25">
      <c r="A121" s="1" t="s">
        <v>652</v>
      </c>
      <c r="B121" s="1">
        <v>1048</v>
      </c>
      <c r="C121" s="1" t="s">
        <v>653</v>
      </c>
      <c r="D121" s="1" t="s">
        <v>654</v>
      </c>
      <c r="E121" s="1">
        <v>0</v>
      </c>
      <c r="F121" s="1">
        <v>0</v>
      </c>
      <c r="G121" s="1" t="s">
        <v>465</v>
      </c>
      <c r="H121" s="1" t="s">
        <v>465</v>
      </c>
      <c r="I121" s="1" t="s">
        <v>25</v>
      </c>
      <c r="J121" s="1" t="s">
        <v>26</v>
      </c>
      <c r="K121" s="1" t="s">
        <v>655</v>
      </c>
      <c r="L121" s="1" t="s">
        <v>656</v>
      </c>
      <c r="M121" s="1"/>
      <c r="N121" s="1"/>
      <c r="O121" s="1"/>
    </row>
    <row r="122" spans="1:15" ht="188.25">
      <c r="A122" s="1" t="s">
        <v>652</v>
      </c>
      <c r="B122" s="1">
        <v>1215</v>
      </c>
      <c r="C122" s="1" t="s">
        <v>657</v>
      </c>
      <c r="D122" s="1" t="s">
        <v>658</v>
      </c>
      <c r="E122" s="1">
        <v>2</v>
      </c>
      <c r="F122" s="1">
        <v>2</v>
      </c>
      <c r="G122" s="1" t="s">
        <v>465</v>
      </c>
      <c r="H122" s="1" t="s">
        <v>465</v>
      </c>
      <c r="I122" s="1" t="s">
        <v>25</v>
      </c>
      <c r="J122" s="1" t="s">
        <v>42</v>
      </c>
      <c r="K122" s="1" t="s">
        <v>637</v>
      </c>
      <c r="L122" s="1" t="s">
        <v>659</v>
      </c>
      <c r="M122" s="1"/>
      <c r="N122" s="1"/>
      <c r="O122" s="1"/>
    </row>
    <row r="123" spans="1:15" ht="188.25">
      <c r="A123" s="1" t="s">
        <v>652</v>
      </c>
      <c r="B123" s="1">
        <v>1288</v>
      </c>
      <c r="C123" s="1" t="s">
        <v>660</v>
      </c>
      <c r="D123" s="1" t="s">
        <v>661</v>
      </c>
      <c r="E123" s="1">
        <v>0</v>
      </c>
      <c r="F123" s="1">
        <v>0</v>
      </c>
      <c r="G123" s="1" t="s">
        <v>465</v>
      </c>
      <c r="H123" s="1" t="s">
        <v>465</v>
      </c>
      <c r="I123" s="1" t="s">
        <v>25</v>
      </c>
      <c r="J123" s="1" t="s">
        <v>26</v>
      </c>
      <c r="K123" s="1" t="s">
        <v>655</v>
      </c>
      <c r="L123" s="1" t="s">
        <v>662</v>
      </c>
      <c r="M123" s="1"/>
      <c r="N123" s="1"/>
      <c r="O123" s="1"/>
    </row>
    <row r="124" spans="1:15" ht="188.25">
      <c r="A124" s="1" t="s">
        <v>652</v>
      </c>
      <c r="B124" s="1">
        <v>1321</v>
      </c>
      <c r="C124" s="1" t="s">
        <v>663</v>
      </c>
      <c r="D124" s="1" t="s">
        <v>664</v>
      </c>
      <c r="E124" s="1">
        <v>4</v>
      </c>
      <c r="F124" s="1">
        <v>3</v>
      </c>
      <c r="G124" s="1" t="s">
        <v>465</v>
      </c>
      <c r="H124" s="1" t="s">
        <v>465</v>
      </c>
      <c r="I124" s="1" t="s">
        <v>25</v>
      </c>
      <c r="J124" s="1" t="s">
        <v>35</v>
      </c>
      <c r="K124" s="1" t="s">
        <v>665</v>
      </c>
      <c r="L124" s="1" t="s">
        <v>666</v>
      </c>
      <c r="M124" s="1"/>
      <c r="N124" s="1"/>
      <c r="O124" s="1"/>
    </row>
    <row r="125" spans="1:15" ht="130.5">
      <c r="A125" s="1" t="s">
        <v>652</v>
      </c>
      <c r="B125" s="1">
        <v>1323</v>
      </c>
      <c r="C125" s="1" t="s">
        <v>667</v>
      </c>
      <c r="D125" s="1" t="s">
        <v>668</v>
      </c>
      <c r="E125" s="1">
        <v>0</v>
      </c>
      <c r="F125" s="1">
        <v>0</v>
      </c>
      <c r="G125" s="1"/>
      <c r="H125" s="1"/>
      <c r="I125" s="1" t="s">
        <v>25</v>
      </c>
      <c r="J125" s="1" t="s">
        <v>26</v>
      </c>
      <c r="K125" s="1" t="s">
        <v>27</v>
      </c>
      <c r="L125" s="1" t="s">
        <v>669</v>
      </c>
      <c r="M125" s="1"/>
      <c r="N125" s="1"/>
      <c r="O125" s="1"/>
    </row>
    <row r="126" spans="1:15" ht="188.25">
      <c r="A126" s="1" t="s">
        <v>652</v>
      </c>
      <c r="B126" s="1">
        <v>1385</v>
      </c>
      <c r="C126" s="1" t="s">
        <v>670</v>
      </c>
      <c r="D126" s="1" t="s">
        <v>671</v>
      </c>
      <c r="E126" s="1">
        <v>3</v>
      </c>
      <c r="F126" s="1">
        <v>1</v>
      </c>
      <c r="G126" s="1" t="s">
        <v>465</v>
      </c>
      <c r="H126" s="1" t="s">
        <v>465</v>
      </c>
      <c r="I126" s="1" t="s">
        <v>25</v>
      </c>
      <c r="J126" s="1" t="s">
        <v>42</v>
      </c>
      <c r="K126" s="1" t="s">
        <v>637</v>
      </c>
      <c r="L126" s="1" t="s">
        <v>672</v>
      </c>
      <c r="M126" s="1"/>
      <c r="N126" s="1"/>
      <c r="O126" s="1"/>
    </row>
    <row r="127" spans="1:15" ht="188.25">
      <c r="A127" s="1" t="s">
        <v>652</v>
      </c>
      <c r="B127" s="1">
        <v>1443</v>
      </c>
      <c r="C127" s="1" t="s">
        <v>673</v>
      </c>
      <c r="D127" s="1" t="s">
        <v>674</v>
      </c>
      <c r="E127" s="1">
        <v>6</v>
      </c>
      <c r="F127" s="1">
        <v>4</v>
      </c>
      <c r="G127" s="1" t="s">
        <v>675</v>
      </c>
      <c r="H127" s="1" t="s">
        <v>676</v>
      </c>
      <c r="I127" s="1" t="s">
        <v>25</v>
      </c>
      <c r="J127" s="1" t="s">
        <v>35</v>
      </c>
      <c r="K127" s="1" t="s">
        <v>677</v>
      </c>
      <c r="L127" s="1" t="s">
        <v>678</v>
      </c>
      <c r="M127" s="1"/>
      <c r="N127" s="1"/>
      <c r="O127" s="1"/>
    </row>
    <row r="128" spans="1:15" ht="188.25">
      <c r="A128" s="1" t="s">
        <v>652</v>
      </c>
      <c r="B128" s="1">
        <v>1554</v>
      </c>
      <c r="C128" s="1" t="s">
        <v>679</v>
      </c>
      <c r="D128" s="1" t="s">
        <v>680</v>
      </c>
      <c r="E128" s="1">
        <v>33</v>
      </c>
      <c r="F128" s="1">
        <v>5</v>
      </c>
      <c r="G128" s="1" t="s">
        <v>465</v>
      </c>
      <c r="H128" s="1" t="s">
        <v>465</v>
      </c>
      <c r="I128" s="1" t="s">
        <v>25</v>
      </c>
      <c r="J128" s="1" t="s">
        <v>35</v>
      </c>
      <c r="K128" s="1" t="s">
        <v>665</v>
      </c>
      <c r="L128" s="1" t="s">
        <v>681</v>
      </c>
      <c r="M128" s="1"/>
      <c r="N128" s="1"/>
      <c r="O128" s="1"/>
    </row>
    <row r="129" spans="1:15" ht="188.25">
      <c r="A129" s="1" t="s">
        <v>652</v>
      </c>
      <c r="B129" s="1">
        <v>1642</v>
      </c>
      <c r="C129" s="1" t="s">
        <v>682</v>
      </c>
      <c r="D129" s="1" t="s">
        <v>683</v>
      </c>
      <c r="E129" s="1">
        <v>2</v>
      </c>
      <c r="F129" s="1">
        <v>2</v>
      </c>
      <c r="G129" s="1" t="s">
        <v>465</v>
      </c>
      <c r="H129" s="1" t="s">
        <v>465</v>
      </c>
      <c r="I129" s="1" t="s">
        <v>25</v>
      </c>
      <c r="J129" s="1" t="s">
        <v>42</v>
      </c>
      <c r="K129" s="1" t="s">
        <v>637</v>
      </c>
      <c r="L129" s="1" t="s">
        <v>684</v>
      </c>
      <c r="M129" s="1"/>
      <c r="N129" s="1"/>
      <c r="O129" s="1"/>
    </row>
    <row r="130" spans="1:15" ht="188.25">
      <c r="A130" s="1" t="s">
        <v>652</v>
      </c>
      <c r="B130" s="1">
        <v>1653</v>
      </c>
      <c r="C130" s="1" t="s">
        <v>685</v>
      </c>
      <c r="D130" s="1" t="s">
        <v>686</v>
      </c>
      <c r="E130" s="1">
        <v>28</v>
      </c>
      <c r="F130" s="1">
        <v>8</v>
      </c>
      <c r="G130" s="1" t="s">
        <v>168</v>
      </c>
      <c r="H130" s="1" t="s">
        <v>168</v>
      </c>
      <c r="I130" s="1" t="s">
        <v>25</v>
      </c>
      <c r="J130" s="1" t="s">
        <v>35</v>
      </c>
      <c r="K130" s="1" t="s">
        <v>227</v>
      </c>
      <c r="L130" s="1" t="s">
        <v>687</v>
      </c>
      <c r="M130" s="1"/>
      <c r="N130" s="1"/>
      <c r="O130" s="1"/>
    </row>
    <row r="131" spans="1:15" ht="188.25">
      <c r="A131" s="1" t="s">
        <v>652</v>
      </c>
      <c r="B131" s="1">
        <v>1655</v>
      </c>
      <c r="C131" s="1" t="s">
        <v>688</v>
      </c>
      <c r="D131" s="1" t="s">
        <v>689</v>
      </c>
      <c r="E131" s="1">
        <v>7</v>
      </c>
      <c r="F131" s="1">
        <v>5</v>
      </c>
      <c r="G131" s="1" t="s">
        <v>465</v>
      </c>
      <c r="H131" s="1" t="s">
        <v>465</v>
      </c>
      <c r="I131" s="1" t="s">
        <v>25</v>
      </c>
      <c r="J131" s="1" t="s">
        <v>35</v>
      </c>
      <c r="K131" s="1" t="s">
        <v>665</v>
      </c>
      <c r="L131" s="1" t="s">
        <v>690</v>
      </c>
      <c r="M131" s="1"/>
      <c r="N131" s="1"/>
      <c r="O131" s="1"/>
    </row>
    <row r="132" spans="1:15" ht="174">
      <c r="A132" s="1" t="s">
        <v>652</v>
      </c>
      <c r="B132" s="1">
        <v>1847</v>
      </c>
      <c r="C132" s="1" t="s">
        <v>691</v>
      </c>
      <c r="D132" s="1" t="s">
        <v>692</v>
      </c>
      <c r="E132" s="1">
        <v>1</v>
      </c>
      <c r="F132" s="1">
        <v>1</v>
      </c>
      <c r="G132" s="1" t="s">
        <v>56</v>
      </c>
      <c r="H132" s="1" t="s">
        <v>56</v>
      </c>
      <c r="I132" s="1" t="s">
        <v>25</v>
      </c>
      <c r="J132" s="1" t="s">
        <v>26</v>
      </c>
      <c r="K132" s="1" t="s">
        <v>175</v>
      </c>
      <c r="L132" s="1" t="s">
        <v>693</v>
      </c>
      <c r="M132" s="1"/>
      <c r="N132" s="1"/>
      <c r="O132" s="1"/>
    </row>
    <row r="133" spans="1:15" ht="174">
      <c r="A133" s="1" t="s">
        <v>652</v>
      </c>
      <c r="B133" s="1">
        <v>1853</v>
      </c>
      <c r="C133" s="1" t="s">
        <v>694</v>
      </c>
      <c r="D133" s="1" t="s">
        <v>695</v>
      </c>
      <c r="E133" s="1">
        <v>2</v>
      </c>
      <c r="F133" s="1">
        <v>2</v>
      </c>
      <c r="G133" s="1" t="s">
        <v>56</v>
      </c>
      <c r="H133" s="1" t="s">
        <v>56</v>
      </c>
      <c r="I133" s="1" t="s">
        <v>25</v>
      </c>
      <c r="J133" s="1" t="s">
        <v>42</v>
      </c>
      <c r="K133" s="1" t="s">
        <v>187</v>
      </c>
      <c r="L133" s="1" t="s">
        <v>696</v>
      </c>
      <c r="M133" s="1"/>
      <c r="N133" s="1"/>
      <c r="O133" s="1"/>
    </row>
    <row r="134" spans="1:15" ht="130.5">
      <c r="A134" s="1" t="s">
        <v>652</v>
      </c>
      <c r="B134" s="1">
        <v>1994</v>
      </c>
      <c r="C134" s="1" t="s">
        <v>697</v>
      </c>
      <c r="D134" s="1" t="s">
        <v>698</v>
      </c>
      <c r="E134" s="1">
        <v>3</v>
      </c>
      <c r="F134" s="1">
        <v>2</v>
      </c>
      <c r="G134" s="1"/>
      <c r="H134" s="1"/>
      <c r="I134" s="1" t="s">
        <v>25</v>
      </c>
      <c r="J134" s="1" t="s">
        <v>42</v>
      </c>
      <c r="K134" s="1" t="s">
        <v>43</v>
      </c>
      <c r="L134" s="1" t="s">
        <v>699</v>
      </c>
      <c r="M134" s="1"/>
      <c r="N134" s="1"/>
      <c r="O134" s="1"/>
    </row>
    <row r="135" spans="1:15" ht="188.25">
      <c r="A135" s="1" t="s">
        <v>652</v>
      </c>
      <c r="B135" s="1">
        <v>2053</v>
      </c>
      <c r="C135" s="1" t="s">
        <v>700</v>
      </c>
      <c r="D135" s="1" t="s">
        <v>701</v>
      </c>
      <c r="E135" s="1">
        <v>0</v>
      </c>
      <c r="F135" s="1">
        <v>0</v>
      </c>
      <c r="G135" s="1" t="s">
        <v>465</v>
      </c>
      <c r="H135" s="1" t="s">
        <v>465</v>
      </c>
      <c r="I135" s="1" t="s">
        <v>49</v>
      </c>
      <c r="J135" s="1" t="s">
        <v>26</v>
      </c>
      <c r="K135" s="1" t="s">
        <v>598</v>
      </c>
      <c r="L135" s="1" t="s">
        <v>702</v>
      </c>
      <c r="M135" s="1"/>
      <c r="N135" s="1"/>
      <c r="O135" s="1"/>
    </row>
    <row r="136" spans="1:15" ht="174">
      <c r="A136" s="1" t="s">
        <v>652</v>
      </c>
      <c r="B136" s="1">
        <v>2068</v>
      </c>
      <c r="C136" s="1" t="s">
        <v>703</v>
      </c>
      <c r="D136" s="1" t="s">
        <v>704</v>
      </c>
      <c r="E136" s="1">
        <v>3</v>
      </c>
      <c r="F136" s="1">
        <v>3</v>
      </c>
      <c r="G136" s="1" t="s">
        <v>56</v>
      </c>
      <c r="H136" s="1" t="s">
        <v>56</v>
      </c>
      <c r="I136" s="1" t="s">
        <v>49</v>
      </c>
      <c r="J136" s="1" t="s">
        <v>42</v>
      </c>
      <c r="K136" s="1" t="s">
        <v>64</v>
      </c>
      <c r="L136" s="1" t="s">
        <v>705</v>
      </c>
      <c r="M136" s="1"/>
      <c r="N136" s="1"/>
      <c r="O136" s="1"/>
    </row>
    <row r="137" spans="1:15" ht="188.25">
      <c r="A137" s="1" t="s">
        <v>652</v>
      </c>
      <c r="B137" s="1">
        <v>2097</v>
      </c>
      <c r="C137" s="1" t="s">
        <v>706</v>
      </c>
      <c r="D137" s="1" t="s">
        <v>707</v>
      </c>
      <c r="E137" s="1">
        <v>6</v>
      </c>
      <c r="F137" s="1">
        <v>3</v>
      </c>
      <c r="G137" s="1" t="s">
        <v>708</v>
      </c>
      <c r="H137" s="1" t="s">
        <v>465</v>
      </c>
      <c r="I137" s="1" t="s">
        <v>49</v>
      </c>
      <c r="J137" s="1" t="s">
        <v>35</v>
      </c>
      <c r="K137" s="1" t="s">
        <v>709</v>
      </c>
      <c r="L137" s="1" t="s">
        <v>710</v>
      </c>
      <c r="M137" s="1"/>
      <c r="N137" s="1"/>
      <c r="O137" s="1"/>
    </row>
    <row r="138" spans="1:15" ht="188.25">
      <c r="A138" s="1" t="s">
        <v>652</v>
      </c>
      <c r="B138" s="1">
        <v>2382</v>
      </c>
      <c r="C138" s="1" t="s">
        <v>711</v>
      </c>
      <c r="D138" s="1" t="s">
        <v>712</v>
      </c>
      <c r="E138" s="1">
        <v>0</v>
      </c>
      <c r="F138" s="1">
        <v>0</v>
      </c>
      <c r="G138" s="1" t="s">
        <v>465</v>
      </c>
      <c r="H138" s="1" t="s">
        <v>465</v>
      </c>
      <c r="I138" s="1" t="s">
        <v>49</v>
      </c>
      <c r="J138" s="1" t="s">
        <v>26</v>
      </c>
      <c r="K138" s="1" t="s">
        <v>598</v>
      </c>
      <c r="L138" s="1" t="s">
        <v>713</v>
      </c>
      <c r="M138" s="1"/>
      <c r="N138" s="1"/>
      <c r="O138" s="1"/>
    </row>
    <row r="139" spans="1:15" ht="188.25">
      <c r="A139" s="1" t="s">
        <v>652</v>
      </c>
      <c r="B139" s="1">
        <v>2419</v>
      </c>
      <c r="C139" s="1" t="s">
        <v>714</v>
      </c>
      <c r="D139" s="1" t="s">
        <v>715</v>
      </c>
      <c r="E139" s="1">
        <v>3</v>
      </c>
      <c r="F139" s="1">
        <v>2</v>
      </c>
      <c r="G139" s="1" t="s">
        <v>465</v>
      </c>
      <c r="H139" s="1" t="s">
        <v>465</v>
      </c>
      <c r="I139" s="1" t="s">
        <v>49</v>
      </c>
      <c r="J139" s="1" t="s">
        <v>42</v>
      </c>
      <c r="K139" s="1" t="s">
        <v>641</v>
      </c>
      <c r="L139" s="1" t="s">
        <v>716</v>
      </c>
      <c r="M139" s="1"/>
      <c r="N139" s="1"/>
      <c r="O139" s="1"/>
    </row>
    <row r="140" spans="1:15" ht="188.25">
      <c r="A140" s="1" t="s">
        <v>652</v>
      </c>
      <c r="B140" s="1">
        <v>2462</v>
      </c>
      <c r="C140" s="1" t="s">
        <v>717</v>
      </c>
      <c r="D140" s="1" t="s">
        <v>718</v>
      </c>
      <c r="E140" s="1">
        <v>5</v>
      </c>
      <c r="F140" s="1">
        <v>3</v>
      </c>
      <c r="G140" s="1" t="s">
        <v>465</v>
      </c>
      <c r="H140" s="1" t="s">
        <v>465</v>
      </c>
      <c r="I140" s="1" t="s">
        <v>49</v>
      </c>
      <c r="J140" s="1" t="s">
        <v>35</v>
      </c>
      <c r="K140" s="1" t="s">
        <v>709</v>
      </c>
      <c r="L140" s="1" t="s">
        <v>719</v>
      </c>
      <c r="M140" s="1"/>
      <c r="N140" s="1"/>
      <c r="O140" s="1"/>
    </row>
    <row r="141" spans="1:15" ht="174">
      <c r="A141" s="1" t="s">
        <v>652</v>
      </c>
      <c r="B141" s="1">
        <v>2516</v>
      </c>
      <c r="C141" s="1" t="s">
        <v>720</v>
      </c>
      <c r="D141" s="1" t="s">
        <v>721</v>
      </c>
      <c r="E141" s="1">
        <v>3</v>
      </c>
      <c r="F141" s="1">
        <v>3</v>
      </c>
      <c r="G141" s="1" t="s">
        <v>56</v>
      </c>
      <c r="H141" s="1" t="s">
        <v>56</v>
      </c>
      <c r="I141" s="1" t="s">
        <v>49</v>
      </c>
      <c r="J141" s="1" t="s">
        <v>42</v>
      </c>
      <c r="K141" s="1" t="s">
        <v>64</v>
      </c>
      <c r="L141" s="1" t="s">
        <v>722</v>
      </c>
      <c r="M141" s="1"/>
      <c r="N141" s="1"/>
      <c r="O141" s="1"/>
    </row>
    <row r="142" spans="1:15" ht="174">
      <c r="A142" s="1" t="s">
        <v>652</v>
      </c>
      <c r="B142" s="1">
        <v>2518</v>
      </c>
      <c r="C142" s="1" t="s">
        <v>723</v>
      </c>
      <c r="D142" s="1" t="s">
        <v>724</v>
      </c>
      <c r="E142" s="1">
        <v>3</v>
      </c>
      <c r="F142" s="1">
        <v>2</v>
      </c>
      <c r="G142" s="1" t="s">
        <v>56</v>
      </c>
      <c r="H142" s="1" t="s">
        <v>56</v>
      </c>
      <c r="I142" s="1" t="s">
        <v>49</v>
      </c>
      <c r="J142" s="1" t="s">
        <v>42</v>
      </c>
      <c r="K142" s="1" t="s">
        <v>64</v>
      </c>
      <c r="L142" s="1" t="s">
        <v>725</v>
      </c>
      <c r="M142" s="1"/>
      <c r="N142" s="1"/>
      <c r="O142" s="1"/>
    </row>
    <row r="143" spans="1:15" ht="188.25">
      <c r="A143" s="1" t="s">
        <v>652</v>
      </c>
      <c r="B143" s="1">
        <v>2568</v>
      </c>
      <c r="C143" s="1" t="s">
        <v>726</v>
      </c>
      <c r="D143" s="1" t="s">
        <v>727</v>
      </c>
      <c r="E143" s="1">
        <v>10</v>
      </c>
      <c r="F143" s="1">
        <v>6</v>
      </c>
      <c r="G143" s="1" t="s">
        <v>465</v>
      </c>
      <c r="H143" s="1" t="s">
        <v>465</v>
      </c>
      <c r="I143" s="1" t="s">
        <v>49</v>
      </c>
      <c r="J143" s="1" t="s">
        <v>35</v>
      </c>
      <c r="K143" s="1" t="s">
        <v>709</v>
      </c>
      <c r="L143" s="1" t="s">
        <v>728</v>
      </c>
      <c r="M143" s="1"/>
      <c r="N143" s="1"/>
      <c r="O143" s="1"/>
    </row>
    <row r="144" spans="1:15" ht="188.25">
      <c r="A144" s="1" t="s">
        <v>652</v>
      </c>
      <c r="B144" s="1">
        <v>2593</v>
      </c>
      <c r="C144" s="1" t="s">
        <v>729</v>
      </c>
      <c r="D144" s="1" t="s">
        <v>730</v>
      </c>
      <c r="E144" s="1">
        <v>0</v>
      </c>
      <c r="F144" s="1">
        <v>0</v>
      </c>
      <c r="G144" s="1" t="s">
        <v>465</v>
      </c>
      <c r="H144" s="1" t="s">
        <v>465</v>
      </c>
      <c r="I144" s="1" t="s">
        <v>49</v>
      </c>
      <c r="J144" s="1" t="s">
        <v>26</v>
      </c>
      <c r="K144" s="1" t="s">
        <v>598</v>
      </c>
      <c r="L144" s="1" t="s">
        <v>731</v>
      </c>
      <c r="M144" s="1"/>
      <c r="N144" s="1"/>
      <c r="O144" s="1"/>
    </row>
    <row r="145" spans="1:15" ht="188.25">
      <c r="A145" s="1" t="s">
        <v>652</v>
      </c>
      <c r="B145" s="1">
        <v>2832</v>
      </c>
      <c r="C145" s="1" t="s">
        <v>732</v>
      </c>
      <c r="D145" s="1" t="s">
        <v>733</v>
      </c>
      <c r="E145" s="1">
        <v>1</v>
      </c>
      <c r="F145" s="1">
        <v>1</v>
      </c>
      <c r="G145" s="1" t="s">
        <v>465</v>
      </c>
      <c r="H145" s="1" t="s">
        <v>465</v>
      </c>
      <c r="I145" s="1" t="s">
        <v>49</v>
      </c>
      <c r="J145" s="1" t="s">
        <v>26</v>
      </c>
      <c r="K145" s="1" t="s">
        <v>598</v>
      </c>
      <c r="L145" s="1" t="s">
        <v>734</v>
      </c>
      <c r="M145" s="1"/>
      <c r="N145" s="1"/>
      <c r="O145" s="1"/>
    </row>
    <row r="146" spans="1:15" ht="188.25">
      <c r="A146" s="1" t="s">
        <v>652</v>
      </c>
      <c r="B146" s="1">
        <v>2858</v>
      </c>
      <c r="C146" s="1" t="s">
        <v>735</v>
      </c>
      <c r="D146" s="1" t="s">
        <v>736</v>
      </c>
      <c r="E146" s="1">
        <v>7</v>
      </c>
      <c r="F146" s="1">
        <v>5</v>
      </c>
      <c r="G146" s="1" t="s">
        <v>168</v>
      </c>
      <c r="H146" s="1" t="s">
        <v>168</v>
      </c>
      <c r="I146" s="1" t="s">
        <v>49</v>
      </c>
      <c r="J146" s="1" t="s">
        <v>35</v>
      </c>
      <c r="K146" s="1" t="s">
        <v>290</v>
      </c>
      <c r="L146" s="1" t="s">
        <v>737</v>
      </c>
      <c r="M146" s="1"/>
      <c r="N146" s="1"/>
      <c r="O146" s="1"/>
    </row>
    <row r="147" spans="1:15" ht="174">
      <c r="A147" s="1" t="s">
        <v>652</v>
      </c>
      <c r="B147" s="1">
        <v>3025</v>
      </c>
      <c r="C147" s="1" t="s">
        <v>738</v>
      </c>
      <c r="D147" s="1" t="s">
        <v>739</v>
      </c>
      <c r="E147" s="1">
        <v>1</v>
      </c>
      <c r="F147" s="1">
        <v>1</v>
      </c>
      <c r="G147" s="1" t="s">
        <v>740</v>
      </c>
      <c r="H147" s="1" t="s">
        <v>56</v>
      </c>
      <c r="I147" s="1" t="s">
        <v>49</v>
      </c>
      <c r="J147" s="1" t="s">
        <v>26</v>
      </c>
      <c r="K147" s="1" t="s">
        <v>741</v>
      </c>
      <c r="L147" s="1" t="s">
        <v>742</v>
      </c>
      <c r="M147" s="1"/>
      <c r="N147" s="1"/>
      <c r="O147" s="1"/>
    </row>
    <row r="148" spans="1:15" ht="174">
      <c r="A148" s="1" t="s">
        <v>652</v>
      </c>
      <c r="B148" s="1">
        <v>3235</v>
      </c>
      <c r="C148" s="1" t="s">
        <v>743</v>
      </c>
      <c r="D148" s="1" t="s">
        <v>744</v>
      </c>
      <c r="E148" s="1">
        <v>0</v>
      </c>
      <c r="F148" s="1">
        <v>0</v>
      </c>
      <c r="G148" s="1" t="s">
        <v>465</v>
      </c>
      <c r="H148" s="1" t="s">
        <v>465</v>
      </c>
      <c r="I148" s="1" t="s">
        <v>70</v>
      </c>
      <c r="J148" s="1" t="s">
        <v>26</v>
      </c>
      <c r="K148" s="1" t="s">
        <v>466</v>
      </c>
      <c r="L148" s="1" t="s">
        <v>745</v>
      </c>
      <c r="M148" s="1"/>
      <c r="N148" s="1"/>
      <c r="O148" s="1"/>
    </row>
    <row r="149" spans="1:15" ht="174">
      <c r="A149" s="1" t="s">
        <v>652</v>
      </c>
      <c r="B149" s="1">
        <v>3260</v>
      </c>
      <c r="C149" s="1" t="s">
        <v>746</v>
      </c>
      <c r="D149" s="1" t="s">
        <v>747</v>
      </c>
      <c r="E149" s="1">
        <v>3</v>
      </c>
      <c r="F149" s="1">
        <v>2</v>
      </c>
      <c r="G149" s="1" t="s">
        <v>465</v>
      </c>
      <c r="H149" s="1" t="s">
        <v>465</v>
      </c>
      <c r="I149" s="1" t="s">
        <v>70</v>
      </c>
      <c r="J149" s="1" t="s">
        <v>42</v>
      </c>
      <c r="K149" s="1" t="s">
        <v>544</v>
      </c>
      <c r="L149" s="1" t="s">
        <v>748</v>
      </c>
      <c r="M149" s="1"/>
      <c r="N149" s="1"/>
      <c r="O149" s="1"/>
    </row>
    <row r="150" spans="1:15" ht="174">
      <c r="A150" s="1" t="s">
        <v>652</v>
      </c>
      <c r="B150" s="1">
        <v>3330</v>
      </c>
      <c r="C150" s="1" t="s">
        <v>749</v>
      </c>
      <c r="D150" s="1" t="s">
        <v>750</v>
      </c>
      <c r="E150" s="1">
        <v>4</v>
      </c>
      <c r="F150" s="1">
        <v>3</v>
      </c>
      <c r="G150" s="1" t="s">
        <v>465</v>
      </c>
      <c r="H150" s="1" t="s">
        <v>465</v>
      </c>
      <c r="I150" s="1" t="s">
        <v>70</v>
      </c>
      <c r="J150" s="1" t="s">
        <v>35</v>
      </c>
      <c r="K150" s="1" t="s">
        <v>612</v>
      </c>
      <c r="L150" s="1" t="s">
        <v>751</v>
      </c>
      <c r="M150" s="1"/>
      <c r="N150" s="1"/>
      <c r="O150" s="1"/>
    </row>
    <row r="151" spans="1:15" ht="174">
      <c r="A151" s="1" t="s">
        <v>652</v>
      </c>
      <c r="B151" s="1">
        <v>3340</v>
      </c>
      <c r="C151" s="1" t="s">
        <v>752</v>
      </c>
      <c r="D151" s="1" t="s">
        <v>753</v>
      </c>
      <c r="E151" s="1">
        <v>1</v>
      </c>
      <c r="F151" s="1">
        <v>1</v>
      </c>
      <c r="G151" s="1" t="s">
        <v>168</v>
      </c>
      <c r="H151" s="1" t="s">
        <v>168</v>
      </c>
      <c r="I151" s="1" t="s">
        <v>70</v>
      </c>
      <c r="J151" s="1" t="s">
        <v>26</v>
      </c>
      <c r="K151" s="1" t="s">
        <v>754</v>
      </c>
      <c r="L151" s="1" t="s">
        <v>755</v>
      </c>
      <c r="M151" s="1"/>
      <c r="N151" s="1"/>
      <c r="O151" s="1"/>
    </row>
    <row r="152" spans="1:15" ht="174">
      <c r="A152" s="1" t="s">
        <v>652</v>
      </c>
      <c r="B152" s="1">
        <v>3343</v>
      </c>
      <c r="C152" s="1" t="s">
        <v>756</v>
      </c>
      <c r="D152" s="1" t="s">
        <v>757</v>
      </c>
      <c r="E152" s="1">
        <v>3</v>
      </c>
      <c r="F152" s="1">
        <v>1</v>
      </c>
      <c r="G152" s="1" t="s">
        <v>708</v>
      </c>
      <c r="H152" s="1" t="s">
        <v>465</v>
      </c>
      <c r="I152" s="1" t="s">
        <v>70</v>
      </c>
      <c r="J152" s="1" t="s">
        <v>42</v>
      </c>
      <c r="K152" s="1" t="s">
        <v>544</v>
      </c>
      <c r="L152" s="1" t="s">
        <v>758</v>
      </c>
      <c r="M152" s="1"/>
      <c r="N152" s="1"/>
      <c r="O152" s="1"/>
    </row>
    <row r="153" spans="1:15" ht="174">
      <c r="A153" s="1" t="s">
        <v>652</v>
      </c>
      <c r="B153" s="1">
        <v>3368</v>
      </c>
      <c r="C153" s="1" t="s">
        <v>759</v>
      </c>
      <c r="D153" s="1" t="s">
        <v>760</v>
      </c>
      <c r="E153" s="1">
        <v>4</v>
      </c>
      <c r="F153" s="1">
        <v>2</v>
      </c>
      <c r="G153" s="1" t="s">
        <v>168</v>
      </c>
      <c r="H153" s="1" t="s">
        <v>168</v>
      </c>
      <c r="I153" s="1" t="s">
        <v>70</v>
      </c>
      <c r="J153" s="1" t="s">
        <v>35</v>
      </c>
      <c r="K153" s="1" t="s">
        <v>761</v>
      </c>
      <c r="L153" s="1" t="s">
        <v>762</v>
      </c>
      <c r="M153" s="1"/>
      <c r="N153" s="1"/>
      <c r="O153" s="1"/>
    </row>
    <row r="154" spans="1:15" ht="174">
      <c r="A154" s="1" t="s">
        <v>652</v>
      </c>
      <c r="B154" s="1">
        <v>3465</v>
      </c>
      <c r="C154" s="1" t="s">
        <v>763</v>
      </c>
      <c r="D154" s="1" t="s">
        <v>764</v>
      </c>
      <c r="E154" s="1">
        <v>4</v>
      </c>
      <c r="F154" s="1">
        <v>2</v>
      </c>
      <c r="G154" s="1" t="s">
        <v>168</v>
      </c>
      <c r="H154" s="1" t="s">
        <v>168</v>
      </c>
      <c r="I154" s="1" t="s">
        <v>70</v>
      </c>
      <c r="J154" s="1" t="s">
        <v>35</v>
      </c>
      <c r="K154" s="1" t="s">
        <v>761</v>
      </c>
      <c r="L154" s="1" t="s">
        <v>765</v>
      </c>
      <c r="M154" s="1"/>
      <c r="N154" s="1"/>
      <c r="O154" s="1"/>
    </row>
    <row r="155" spans="1:15" ht="159">
      <c r="A155" s="1" t="s">
        <v>652</v>
      </c>
      <c r="B155" s="1">
        <v>3671</v>
      </c>
      <c r="C155" s="1" t="s">
        <v>766</v>
      </c>
      <c r="D155" s="1" t="s">
        <v>767</v>
      </c>
      <c r="E155" s="1">
        <v>2</v>
      </c>
      <c r="F155" s="1">
        <v>2</v>
      </c>
      <c r="G155" s="1" t="s">
        <v>56</v>
      </c>
      <c r="H155" s="1" t="s">
        <v>56</v>
      </c>
      <c r="I155" s="1" t="s">
        <v>70</v>
      </c>
      <c r="J155" s="1" t="s">
        <v>42</v>
      </c>
      <c r="K155" s="1" t="s">
        <v>768</v>
      </c>
      <c r="L155" s="1" t="s">
        <v>769</v>
      </c>
      <c r="M155" s="1"/>
      <c r="N155" s="1"/>
      <c r="O155" s="1"/>
    </row>
    <row r="156" spans="1:15" ht="159">
      <c r="A156" s="1" t="s">
        <v>652</v>
      </c>
      <c r="B156" s="1">
        <v>3976</v>
      </c>
      <c r="C156" s="1" t="s">
        <v>770</v>
      </c>
      <c r="D156" s="1" t="s">
        <v>771</v>
      </c>
      <c r="E156" s="1">
        <v>0</v>
      </c>
      <c r="F156" s="1">
        <v>0</v>
      </c>
      <c r="G156" s="1" t="s">
        <v>56</v>
      </c>
      <c r="H156" s="1" t="s">
        <v>56</v>
      </c>
      <c r="I156" s="1" t="s">
        <v>70</v>
      </c>
      <c r="J156" s="1" t="s">
        <v>26</v>
      </c>
      <c r="K156" s="1" t="s">
        <v>534</v>
      </c>
      <c r="L156" s="1" t="s">
        <v>772</v>
      </c>
      <c r="M156" s="1"/>
      <c r="N156" s="1"/>
      <c r="O156" s="1"/>
    </row>
    <row r="157" spans="1:15" ht="174">
      <c r="A157" s="1" t="s">
        <v>652</v>
      </c>
      <c r="B157" s="1">
        <v>4012</v>
      </c>
      <c r="C157" s="1" t="s">
        <v>773</v>
      </c>
      <c r="D157" s="1" t="s">
        <v>774</v>
      </c>
      <c r="E157" s="1">
        <v>1</v>
      </c>
      <c r="F157" s="1">
        <v>1</v>
      </c>
      <c r="G157" s="1" t="s">
        <v>168</v>
      </c>
      <c r="H157" s="1" t="s">
        <v>168</v>
      </c>
      <c r="I157" s="1" t="s">
        <v>70</v>
      </c>
      <c r="J157" s="1" t="s">
        <v>42</v>
      </c>
      <c r="K157" s="1" t="s">
        <v>775</v>
      </c>
      <c r="L157" s="1" t="s">
        <v>776</v>
      </c>
      <c r="M157" s="1"/>
      <c r="N157" s="1"/>
      <c r="O157" s="1"/>
    </row>
    <row r="158" spans="1:15" ht="159">
      <c r="A158" s="1" t="s">
        <v>652</v>
      </c>
      <c r="B158" s="1">
        <v>4076</v>
      </c>
      <c r="C158" s="1" t="s">
        <v>777</v>
      </c>
      <c r="D158" s="1" t="s">
        <v>778</v>
      </c>
      <c r="E158" s="1">
        <v>0</v>
      </c>
      <c r="F158" s="1">
        <v>0</v>
      </c>
      <c r="G158" s="1" t="s">
        <v>56</v>
      </c>
      <c r="H158" s="1" t="s">
        <v>56</v>
      </c>
      <c r="I158" s="1" t="s">
        <v>70</v>
      </c>
      <c r="J158" s="1" t="s">
        <v>26</v>
      </c>
      <c r="K158" s="1" t="s">
        <v>534</v>
      </c>
      <c r="L158" s="1" t="s">
        <v>779</v>
      </c>
      <c r="M158" s="1"/>
      <c r="N158" s="1"/>
      <c r="O158" s="1"/>
    </row>
    <row r="159" spans="1:15" ht="159">
      <c r="A159" s="1" t="s">
        <v>652</v>
      </c>
      <c r="B159" s="1">
        <v>4098</v>
      </c>
      <c r="C159" s="1" t="s">
        <v>780</v>
      </c>
      <c r="D159" s="1" t="s">
        <v>781</v>
      </c>
      <c r="E159" s="1">
        <v>4</v>
      </c>
      <c r="F159" s="1">
        <v>2</v>
      </c>
      <c r="G159" s="1" t="s">
        <v>56</v>
      </c>
      <c r="H159" s="1" t="s">
        <v>56</v>
      </c>
      <c r="I159" s="1" t="s">
        <v>70</v>
      </c>
      <c r="J159" s="1" t="s">
        <v>35</v>
      </c>
      <c r="K159" s="1" t="s">
        <v>84</v>
      </c>
      <c r="L159" s="1" t="s">
        <v>782</v>
      </c>
      <c r="M159" s="1"/>
      <c r="N159" s="1"/>
      <c r="O159" s="1"/>
    </row>
    <row r="160" spans="1:15" ht="174">
      <c r="A160" s="1" t="s">
        <v>652</v>
      </c>
      <c r="B160" s="1">
        <v>4204</v>
      </c>
      <c r="C160" s="1" t="s">
        <v>783</v>
      </c>
      <c r="D160" s="1" t="s">
        <v>784</v>
      </c>
      <c r="E160" s="1">
        <v>1</v>
      </c>
      <c r="F160" s="1">
        <v>1</v>
      </c>
      <c r="G160" s="1" t="s">
        <v>465</v>
      </c>
      <c r="H160" s="1" t="s">
        <v>465</v>
      </c>
      <c r="I160" s="1" t="s">
        <v>70</v>
      </c>
      <c r="J160" s="1" t="s">
        <v>42</v>
      </c>
      <c r="K160" s="1" t="s">
        <v>544</v>
      </c>
      <c r="L160" s="1" t="s">
        <v>785</v>
      </c>
      <c r="M160" s="1"/>
      <c r="N160" s="1"/>
      <c r="O160" s="1"/>
    </row>
    <row r="161" spans="1:15" ht="188.25">
      <c r="A161" s="1" t="s">
        <v>786</v>
      </c>
      <c r="B161" s="1">
        <v>238</v>
      </c>
      <c r="C161" s="1" t="s">
        <v>787</v>
      </c>
      <c r="D161" s="1" t="s">
        <v>788</v>
      </c>
      <c r="E161" s="1">
        <v>3</v>
      </c>
      <c r="F161" s="1">
        <v>2</v>
      </c>
      <c r="G161" s="1" t="s">
        <v>168</v>
      </c>
      <c r="H161" s="1" t="s">
        <v>168</v>
      </c>
      <c r="I161" s="1" t="s">
        <v>25</v>
      </c>
      <c r="J161" s="1" t="s">
        <v>42</v>
      </c>
      <c r="K161" s="1" t="s">
        <v>169</v>
      </c>
      <c r="L161" s="1" t="s">
        <v>789</v>
      </c>
      <c r="M161" s="1"/>
      <c r="N161" s="1"/>
      <c r="O161" s="1"/>
    </row>
    <row r="162" spans="1:15" ht="188.25">
      <c r="A162" s="1" t="s">
        <v>786</v>
      </c>
      <c r="B162" s="1">
        <v>243</v>
      </c>
      <c r="C162" s="1" t="s">
        <v>790</v>
      </c>
      <c r="D162" s="1" t="s">
        <v>791</v>
      </c>
      <c r="E162" s="1">
        <v>21</v>
      </c>
      <c r="F162" s="1">
        <v>11</v>
      </c>
      <c r="G162" s="1" t="s">
        <v>465</v>
      </c>
      <c r="H162" s="1" t="s">
        <v>465</v>
      </c>
      <c r="I162" s="1" t="s">
        <v>25</v>
      </c>
      <c r="J162" s="1" t="s">
        <v>35</v>
      </c>
      <c r="K162" s="1" t="s">
        <v>665</v>
      </c>
      <c r="L162" s="1" t="s">
        <v>792</v>
      </c>
      <c r="M162" s="1"/>
      <c r="N162" s="1"/>
      <c r="O162" s="1"/>
    </row>
    <row r="163" spans="1:15" ht="188.25">
      <c r="A163" s="1" t="s">
        <v>786</v>
      </c>
      <c r="B163" s="1">
        <v>489</v>
      </c>
      <c r="C163" s="1" t="s">
        <v>793</v>
      </c>
      <c r="D163" s="1" t="s">
        <v>794</v>
      </c>
      <c r="E163" s="1">
        <v>1</v>
      </c>
      <c r="F163" s="1">
        <v>1</v>
      </c>
      <c r="G163" s="1" t="s">
        <v>465</v>
      </c>
      <c r="H163" s="1" t="s">
        <v>465</v>
      </c>
      <c r="I163" s="1" t="s">
        <v>25</v>
      </c>
      <c r="J163" s="1" t="s">
        <v>26</v>
      </c>
      <c r="K163" s="1" t="s">
        <v>655</v>
      </c>
      <c r="L163" s="1" t="s">
        <v>795</v>
      </c>
      <c r="M163" s="1"/>
      <c r="N163" s="1"/>
      <c r="O163" s="1"/>
    </row>
    <row r="164" spans="1:15" ht="188.25">
      <c r="A164" s="1" t="s">
        <v>786</v>
      </c>
      <c r="B164" s="1">
        <v>766</v>
      </c>
      <c r="C164" s="1" t="s">
        <v>796</v>
      </c>
      <c r="D164" s="1" t="s">
        <v>797</v>
      </c>
      <c r="E164" s="1">
        <v>2</v>
      </c>
      <c r="F164" s="1">
        <v>2</v>
      </c>
      <c r="G164" s="1" t="s">
        <v>798</v>
      </c>
      <c r="H164" s="1" t="s">
        <v>465</v>
      </c>
      <c r="I164" s="1" t="s">
        <v>49</v>
      </c>
      <c r="J164" s="1" t="s">
        <v>42</v>
      </c>
      <c r="K164" s="1" t="s">
        <v>641</v>
      </c>
      <c r="L164" s="1" t="s">
        <v>799</v>
      </c>
      <c r="M164" s="1"/>
      <c r="N164" s="1"/>
      <c r="O164" s="1"/>
    </row>
    <row r="165" spans="1:15" ht="188.25">
      <c r="A165" s="1" t="s">
        <v>786</v>
      </c>
      <c r="B165" s="1">
        <v>1087</v>
      </c>
      <c r="C165" s="1" t="s">
        <v>800</v>
      </c>
      <c r="D165" s="1" t="s">
        <v>801</v>
      </c>
      <c r="E165" s="1">
        <v>0</v>
      </c>
      <c r="F165" s="1">
        <v>0</v>
      </c>
      <c r="G165" s="1" t="s">
        <v>465</v>
      </c>
      <c r="H165" s="1" t="s">
        <v>465</v>
      </c>
      <c r="I165" s="1" t="s">
        <v>49</v>
      </c>
      <c r="J165" s="1" t="s">
        <v>26</v>
      </c>
      <c r="K165" s="1" t="s">
        <v>598</v>
      </c>
      <c r="L165" s="1" t="s">
        <v>802</v>
      </c>
      <c r="M165" s="1"/>
      <c r="N165" s="1"/>
      <c r="O165" s="1"/>
    </row>
    <row r="166" spans="1:15" ht="188.25">
      <c r="A166" s="1" t="s">
        <v>786</v>
      </c>
      <c r="B166" s="1">
        <v>1132</v>
      </c>
      <c r="C166" s="1" t="s">
        <v>803</v>
      </c>
      <c r="D166" s="1" t="s">
        <v>804</v>
      </c>
      <c r="E166" s="1">
        <v>4</v>
      </c>
      <c r="F166" s="1">
        <v>2</v>
      </c>
      <c r="G166" s="1" t="s">
        <v>465</v>
      </c>
      <c r="H166" s="1" t="s">
        <v>465</v>
      </c>
      <c r="I166" s="1" t="s">
        <v>49</v>
      </c>
      <c r="J166" s="1" t="s">
        <v>35</v>
      </c>
      <c r="K166" s="1" t="s">
        <v>709</v>
      </c>
      <c r="L166" s="1" t="s">
        <v>805</v>
      </c>
      <c r="M166" s="1"/>
      <c r="N166" s="1"/>
      <c r="O166" s="1"/>
    </row>
    <row r="167" spans="1:15" ht="174">
      <c r="A167" s="1" t="s">
        <v>786</v>
      </c>
      <c r="B167" s="1">
        <v>1178</v>
      </c>
      <c r="C167" s="1" t="s">
        <v>806</v>
      </c>
      <c r="D167" s="1" t="s">
        <v>807</v>
      </c>
      <c r="E167" s="1">
        <v>7</v>
      </c>
      <c r="F167" s="1">
        <v>3</v>
      </c>
      <c r="G167" s="1" t="s">
        <v>465</v>
      </c>
      <c r="H167" s="1" t="s">
        <v>465</v>
      </c>
      <c r="I167" s="1" t="s">
        <v>70</v>
      </c>
      <c r="J167" s="1" t="s">
        <v>35</v>
      </c>
      <c r="K167" s="1" t="s">
        <v>612</v>
      </c>
      <c r="L167" s="1" t="s">
        <v>808</v>
      </c>
      <c r="M167" s="1"/>
      <c r="N167" s="1"/>
      <c r="O167" s="1"/>
    </row>
    <row r="168" spans="1:15" ht="174">
      <c r="A168" s="1" t="s">
        <v>786</v>
      </c>
      <c r="B168" s="1">
        <v>1235</v>
      </c>
      <c r="C168" s="1" t="s">
        <v>809</v>
      </c>
      <c r="D168" s="1" t="s">
        <v>810</v>
      </c>
      <c r="E168" s="1">
        <v>1</v>
      </c>
      <c r="F168" s="1">
        <v>1</v>
      </c>
      <c r="G168" s="1" t="s">
        <v>168</v>
      </c>
      <c r="H168" s="1" t="s">
        <v>168</v>
      </c>
      <c r="I168" s="1" t="s">
        <v>70</v>
      </c>
      <c r="J168" s="1" t="s">
        <v>42</v>
      </c>
      <c r="K168" s="1" t="s">
        <v>775</v>
      </c>
      <c r="L168" s="1" t="s">
        <v>811</v>
      </c>
      <c r="M168" s="1"/>
      <c r="N168" s="1"/>
      <c r="O168" s="1"/>
    </row>
    <row r="169" spans="1:15" ht="174">
      <c r="A169" s="1" t="s">
        <v>786</v>
      </c>
      <c r="B169" s="1">
        <v>1685</v>
      </c>
      <c r="C169" s="1" t="s">
        <v>812</v>
      </c>
      <c r="D169" s="1" t="s">
        <v>813</v>
      </c>
      <c r="E169" s="1">
        <v>0</v>
      </c>
      <c r="F169" s="1">
        <v>0</v>
      </c>
      <c r="G169" s="1" t="s">
        <v>465</v>
      </c>
      <c r="H169" s="1" t="s">
        <v>465</v>
      </c>
      <c r="I169" s="1" t="s">
        <v>70</v>
      </c>
      <c r="J169" s="1" t="s">
        <v>26</v>
      </c>
      <c r="K169" s="1" t="s">
        <v>466</v>
      </c>
      <c r="L169" s="1" t="s">
        <v>814</v>
      </c>
      <c r="M169" s="1"/>
      <c r="N169" s="1"/>
      <c r="O169" s="1"/>
    </row>
    <row r="170" spans="1:15" ht="188.25">
      <c r="A170" s="1" t="s">
        <v>815</v>
      </c>
      <c r="B170" s="1">
        <v>487</v>
      </c>
      <c r="C170" s="1" t="s">
        <v>816</v>
      </c>
      <c r="D170" s="1" t="s">
        <v>817</v>
      </c>
      <c r="E170" s="1">
        <v>3</v>
      </c>
      <c r="F170" s="1">
        <v>3</v>
      </c>
      <c r="G170" s="1" t="s">
        <v>465</v>
      </c>
      <c r="H170" s="1" t="s">
        <v>465</v>
      </c>
      <c r="I170" s="1" t="s">
        <v>25</v>
      </c>
      <c r="J170" s="1" t="s">
        <v>42</v>
      </c>
      <c r="K170" s="1" t="s">
        <v>637</v>
      </c>
      <c r="L170" s="1" t="s">
        <v>818</v>
      </c>
      <c r="M170" s="1"/>
      <c r="N170" s="1"/>
      <c r="O170" s="1"/>
    </row>
    <row r="171" spans="1:15" ht="188.25">
      <c r="A171" s="1" t="s">
        <v>815</v>
      </c>
      <c r="B171" s="1">
        <v>648</v>
      </c>
      <c r="C171" s="1" t="s">
        <v>819</v>
      </c>
      <c r="D171" s="1" t="s">
        <v>820</v>
      </c>
      <c r="E171" s="1">
        <v>1</v>
      </c>
      <c r="F171" s="1">
        <v>1</v>
      </c>
      <c r="G171" s="1" t="s">
        <v>465</v>
      </c>
      <c r="H171" s="1" t="s">
        <v>465</v>
      </c>
      <c r="I171" s="1" t="s">
        <v>25</v>
      </c>
      <c r="J171" s="1" t="s">
        <v>26</v>
      </c>
      <c r="K171" s="1" t="s">
        <v>655</v>
      </c>
      <c r="L171" s="1" t="s">
        <v>821</v>
      </c>
      <c r="M171" s="1"/>
      <c r="N171" s="1"/>
      <c r="O171" s="1"/>
    </row>
    <row r="172" spans="1:15" ht="174">
      <c r="A172" s="1" t="s">
        <v>815</v>
      </c>
      <c r="B172" s="1">
        <v>872</v>
      </c>
      <c r="C172" s="1" t="s">
        <v>822</v>
      </c>
      <c r="D172" s="1" t="s">
        <v>823</v>
      </c>
      <c r="E172" s="1">
        <v>0</v>
      </c>
      <c r="F172" s="1">
        <v>0</v>
      </c>
      <c r="G172" s="1" t="s">
        <v>56</v>
      </c>
      <c r="H172" s="1" t="s">
        <v>56</v>
      </c>
      <c r="I172" s="1" t="s">
        <v>25</v>
      </c>
      <c r="J172" s="1" t="s">
        <v>26</v>
      </c>
      <c r="K172" s="1" t="s">
        <v>175</v>
      </c>
      <c r="L172" s="1" t="s">
        <v>824</v>
      </c>
      <c r="M172" s="1"/>
      <c r="N172" s="1"/>
      <c r="O172" s="1"/>
    </row>
    <row r="173" spans="1:15" ht="174">
      <c r="A173" s="1" t="s">
        <v>815</v>
      </c>
      <c r="B173" s="1">
        <v>876</v>
      </c>
      <c r="C173" s="1" t="s">
        <v>825</v>
      </c>
      <c r="D173" s="1" t="s">
        <v>826</v>
      </c>
      <c r="E173" s="1">
        <v>3</v>
      </c>
      <c r="F173" s="1">
        <v>2</v>
      </c>
      <c r="G173" s="1" t="s">
        <v>56</v>
      </c>
      <c r="H173" s="1" t="s">
        <v>56</v>
      </c>
      <c r="I173" s="1" t="s">
        <v>25</v>
      </c>
      <c r="J173" s="1" t="s">
        <v>35</v>
      </c>
      <c r="K173" s="1" t="s">
        <v>285</v>
      </c>
      <c r="L173" s="1" t="s">
        <v>827</v>
      </c>
      <c r="M173" s="1"/>
      <c r="N173" s="1"/>
      <c r="O173" s="1"/>
    </row>
    <row r="174" spans="1:15" ht="188.25">
      <c r="A174" s="1" t="s">
        <v>815</v>
      </c>
      <c r="B174" s="1">
        <v>929</v>
      </c>
      <c r="C174" s="1" t="s">
        <v>828</v>
      </c>
      <c r="D174" s="1" t="s">
        <v>829</v>
      </c>
      <c r="E174" s="1">
        <v>1</v>
      </c>
      <c r="F174" s="1">
        <v>1</v>
      </c>
      <c r="G174" s="1" t="s">
        <v>168</v>
      </c>
      <c r="H174" s="1" t="s">
        <v>168</v>
      </c>
      <c r="I174" s="1" t="s">
        <v>49</v>
      </c>
      <c r="J174" s="1" t="s">
        <v>26</v>
      </c>
      <c r="K174" s="1" t="s">
        <v>830</v>
      </c>
      <c r="L174" s="1" t="s">
        <v>831</v>
      </c>
      <c r="M174" s="1"/>
      <c r="N174" s="1"/>
      <c r="O174" s="1"/>
    </row>
    <row r="175" spans="1:15" ht="188.25">
      <c r="A175" s="1" t="s">
        <v>815</v>
      </c>
      <c r="B175" s="1">
        <v>1026</v>
      </c>
      <c r="C175" s="1" t="s">
        <v>832</v>
      </c>
      <c r="D175" s="1" t="s">
        <v>833</v>
      </c>
      <c r="E175" s="1">
        <v>1</v>
      </c>
      <c r="F175" s="1">
        <v>1</v>
      </c>
      <c r="G175" s="1" t="s">
        <v>465</v>
      </c>
      <c r="H175" s="1" t="s">
        <v>465</v>
      </c>
      <c r="I175" s="1" t="s">
        <v>49</v>
      </c>
      <c r="J175" s="1" t="s">
        <v>42</v>
      </c>
      <c r="K175" s="1" t="s">
        <v>641</v>
      </c>
      <c r="L175" s="1" t="s">
        <v>834</v>
      </c>
      <c r="M175" s="1"/>
      <c r="N175" s="1"/>
      <c r="O175" s="1"/>
    </row>
    <row r="176" spans="1:15" ht="188.25">
      <c r="A176" s="1" t="s">
        <v>815</v>
      </c>
      <c r="B176" s="1">
        <v>1173</v>
      </c>
      <c r="C176" s="1" t="s">
        <v>835</v>
      </c>
      <c r="D176" s="1" t="s">
        <v>836</v>
      </c>
      <c r="E176" s="1">
        <v>1</v>
      </c>
      <c r="F176" s="1">
        <v>1</v>
      </c>
      <c r="G176" s="1" t="s">
        <v>465</v>
      </c>
      <c r="H176" s="1" t="s">
        <v>465</v>
      </c>
      <c r="I176" s="1" t="s">
        <v>49</v>
      </c>
      <c r="J176" s="1" t="s">
        <v>42</v>
      </c>
      <c r="K176" s="1" t="s">
        <v>641</v>
      </c>
      <c r="L176" s="1" t="s">
        <v>837</v>
      </c>
      <c r="M176" s="1"/>
      <c r="N176" s="1"/>
      <c r="O176" s="1"/>
    </row>
    <row r="177" spans="1:15" ht="188.25">
      <c r="A177" s="1" t="s">
        <v>815</v>
      </c>
      <c r="B177" s="1">
        <v>1324</v>
      </c>
      <c r="C177" s="1" t="s">
        <v>838</v>
      </c>
      <c r="D177" s="1" t="s">
        <v>839</v>
      </c>
      <c r="E177" s="1">
        <v>4</v>
      </c>
      <c r="F177" s="1">
        <v>4</v>
      </c>
      <c r="G177" s="1" t="s">
        <v>465</v>
      </c>
      <c r="H177" s="1" t="s">
        <v>465</v>
      </c>
      <c r="I177" s="1" t="s">
        <v>49</v>
      </c>
      <c r="J177" s="1" t="s">
        <v>35</v>
      </c>
      <c r="K177" s="1" t="s">
        <v>709</v>
      </c>
      <c r="L177" s="1" t="s">
        <v>840</v>
      </c>
      <c r="M177" s="1"/>
      <c r="N177" s="1"/>
      <c r="O177" s="1"/>
    </row>
    <row r="178" spans="1:15" ht="174">
      <c r="A178" s="1" t="s">
        <v>815</v>
      </c>
      <c r="B178" s="1">
        <v>1721</v>
      </c>
      <c r="C178" s="1" t="s">
        <v>841</v>
      </c>
      <c r="D178" s="1" t="s">
        <v>842</v>
      </c>
      <c r="E178" s="1">
        <v>0</v>
      </c>
      <c r="F178" s="1">
        <v>0</v>
      </c>
      <c r="G178" s="1" t="s">
        <v>465</v>
      </c>
      <c r="H178" s="1" t="s">
        <v>465</v>
      </c>
      <c r="I178" s="1" t="s">
        <v>70</v>
      </c>
      <c r="J178" s="1" t="s">
        <v>26</v>
      </c>
      <c r="K178" s="1" t="s">
        <v>466</v>
      </c>
      <c r="L178" s="1" t="s">
        <v>843</v>
      </c>
      <c r="M178" s="1"/>
      <c r="N178" s="1"/>
      <c r="O178" s="1"/>
    </row>
    <row r="179" spans="1:15" ht="174">
      <c r="A179" s="1" t="s">
        <v>815</v>
      </c>
      <c r="B179" s="1">
        <v>1812</v>
      </c>
      <c r="C179" s="1" t="s">
        <v>844</v>
      </c>
      <c r="D179" s="1" t="s">
        <v>845</v>
      </c>
      <c r="E179" s="1">
        <v>1</v>
      </c>
      <c r="F179" s="1">
        <v>1</v>
      </c>
      <c r="G179" s="1" t="s">
        <v>465</v>
      </c>
      <c r="H179" s="1" t="s">
        <v>465</v>
      </c>
      <c r="I179" s="1" t="s">
        <v>70</v>
      </c>
      <c r="J179" s="1" t="s">
        <v>42</v>
      </c>
      <c r="K179" s="1" t="s">
        <v>544</v>
      </c>
      <c r="L179" s="1" t="s">
        <v>846</v>
      </c>
      <c r="M179" s="1"/>
      <c r="N179" s="1"/>
      <c r="O179" s="1"/>
    </row>
    <row r="180" spans="1:15" ht="174">
      <c r="A180" s="1" t="s">
        <v>815</v>
      </c>
      <c r="B180" s="1">
        <v>1899</v>
      </c>
      <c r="C180" s="1" t="s">
        <v>847</v>
      </c>
      <c r="D180" s="1" t="s">
        <v>848</v>
      </c>
      <c r="E180" s="1">
        <v>2</v>
      </c>
      <c r="F180" s="1">
        <v>2</v>
      </c>
      <c r="G180" s="1" t="s">
        <v>168</v>
      </c>
      <c r="H180" s="1" t="s">
        <v>168</v>
      </c>
      <c r="I180" s="1" t="s">
        <v>70</v>
      </c>
      <c r="J180" s="1" t="s">
        <v>42</v>
      </c>
      <c r="K180" s="1" t="s">
        <v>775</v>
      </c>
      <c r="L180" s="1" t="s">
        <v>849</v>
      </c>
      <c r="M180" s="1"/>
      <c r="N180" s="1"/>
      <c r="O180" s="1"/>
    </row>
    <row r="181" spans="1:15" ht="174">
      <c r="A181" s="1" t="s">
        <v>815</v>
      </c>
      <c r="B181" s="1">
        <v>2062</v>
      </c>
      <c r="C181" s="1" t="s">
        <v>850</v>
      </c>
      <c r="D181" s="1" t="s">
        <v>851</v>
      </c>
      <c r="E181" s="1">
        <v>17</v>
      </c>
      <c r="F181" s="1">
        <v>4</v>
      </c>
      <c r="G181" s="1" t="s">
        <v>852</v>
      </c>
      <c r="H181" s="1" t="s">
        <v>465</v>
      </c>
      <c r="I181" s="1" t="s">
        <v>70</v>
      </c>
      <c r="J181" s="1" t="s">
        <v>35</v>
      </c>
      <c r="K181" s="1" t="s">
        <v>612</v>
      </c>
      <c r="L181" s="1" t="s">
        <v>853</v>
      </c>
      <c r="M181" s="1"/>
      <c r="N181" s="1"/>
      <c r="O181" s="1"/>
    </row>
  </sheetData>
  <hyperlinks>
    <hyperlink ref="C11" r:id="rId1" xr:uid="{060D79FB-C57C-48DC-AEC1-553A73F09C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2026-02-09T17:48:26Z</dcterms:created>
  <dcterms:modified xsi:type="dcterms:W3CDTF">2026-02-17T03:19:21Z</dcterms:modified>
  <cp:category/>
  <cp:contentStatus/>
</cp:coreProperties>
</file>